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4" rupBuild="25725"/>
  <workbookPr date1904="1" showInkAnnotation="0" autoCompressPictures="0"/>
  <bookViews>
    <workbookView xWindow="0" yWindow="0" windowWidth="26600" windowHeight="15740" tabRatio="500"/>
  </bookViews>
  <sheets>
    <sheet name="Sheet1" sheetId="1" r:id="rId1"/>
    <sheet name="Subandi semar pegulingan" sheetId="2" r:id="rId2"/>
    <sheet name="angklung" sheetId="3" r:id="rId3"/>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AA105" i="1" l="1"/>
  <c r="AB105" i="1"/>
  <c r="AA104" i="1"/>
  <c r="AB104" i="1"/>
  <c r="X105" i="1"/>
  <c r="Y105" i="1"/>
  <c r="X104" i="1"/>
  <c r="Y104" i="1"/>
  <c r="AA103" i="1"/>
  <c r="AB103" i="1"/>
  <c r="AA102" i="1"/>
  <c r="AB102" i="1"/>
  <c r="AA101" i="1"/>
  <c r="AB101" i="1"/>
  <c r="AA100" i="1"/>
  <c r="AB100" i="1"/>
  <c r="AA99" i="1"/>
  <c r="AB99" i="1"/>
  <c r="X103" i="1"/>
  <c r="Y103" i="1"/>
  <c r="X102" i="1"/>
  <c r="Y102" i="1"/>
  <c r="X101" i="1"/>
  <c r="Y101" i="1"/>
  <c r="X100" i="1"/>
  <c r="Y100" i="1"/>
  <c r="X99" i="1"/>
  <c r="Y99" i="1"/>
  <c r="Z94" i="1"/>
  <c r="Z93" i="1"/>
  <c r="Z92" i="1"/>
  <c r="Z91" i="1"/>
  <c r="Z90" i="1"/>
  <c r="Z89" i="1"/>
  <c r="Z88" i="1"/>
  <c r="W94" i="1"/>
  <c r="W93" i="1"/>
  <c r="W92" i="1"/>
  <c r="W91" i="1"/>
  <c r="W90" i="1"/>
  <c r="W89" i="1"/>
  <c r="W88" i="1"/>
</calcChain>
</file>

<file path=xl/sharedStrings.xml><?xml version="1.0" encoding="utf-8"?>
<sst xmlns="http://schemas.openxmlformats.org/spreadsheetml/2006/main" count="496" uniqueCount="248">
  <si>
    <t>Kantilan pengumbang</t>
    <phoneticPr fontId="1" type="noConversion"/>
  </si>
  <si>
    <t>dung</t>
    <phoneticPr fontId="1" type="noConversion"/>
  </si>
  <si>
    <t>dang</t>
    <phoneticPr fontId="1" type="noConversion"/>
  </si>
  <si>
    <t>daing</t>
    <phoneticPr fontId="1" type="noConversion"/>
  </si>
  <si>
    <t>Kantilan pengisep</t>
    <phoneticPr fontId="1" type="noConversion"/>
  </si>
  <si>
    <t>C#2 +9.2</t>
    <phoneticPr fontId="1" type="noConversion"/>
  </si>
  <si>
    <t>D2 +30.71</t>
    <phoneticPr fontId="1" type="noConversion"/>
  </si>
  <si>
    <t>E2 -34.19</t>
    <phoneticPr fontId="1" type="noConversion"/>
  </si>
  <si>
    <t>G2 -49.25</t>
    <phoneticPr fontId="1" type="noConversion"/>
  </si>
  <si>
    <t>G#2 +10.70</t>
    <phoneticPr fontId="1" type="noConversion"/>
  </si>
  <si>
    <t>A3 +12.15</t>
    <phoneticPr fontId="1" type="noConversion"/>
  </si>
  <si>
    <t>B3 +33.59</t>
    <phoneticPr fontId="1" type="noConversion"/>
  </si>
  <si>
    <t>D2 -41.79</t>
    <phoneticPr fontId="1" type="noConversion"/>
  </si>
  <si>
    <t>D#2 -.92</t>
    <phoneticPr fontId="1" type="noConversion"/>
  </si>
  <si>
    <t>E2 +28.92</t>
    <phoneticPr fontId="1" type="noConversion"/>
  </si>
  <si>
    <t>G2 +4.43</t>
    <phoneticPr fontId="1" type="noConversion"/>
  </si>
  <si>
    <t>A3 -40.27</t>
    <phoneticPr fontId="1" type="noConversion"/>
  </si>
  <si>
    <t>A#3 -41.57</t>
    <phoneticPr fontId="1" type="noConversion"/>
  </si>
  <si>
    <t>C3 -25.63</t>
    <phoneticPr fontId="1" type="noConversion"/>
  </si>
  <si>
    <t>E5 14.94</t>
    <phoneticPr fontId="1" type="noConversion"/>
  </si>
  <si>
    <t>G5 -2.14</t>
    <phoneticPr fontId="1" type="noConversion"/>
  </si>
  <si>
    <t>D#5 -11.64</t>
    <phoneticPr fontId="1" type="noConversion"/>
  </si>
  <si>
    <t>G#5 +46.27</t>
    <phoneticPr fontId="1" type="noConversion"/>
  </si>
  <si>
    <t>A#6 -47.16</t>
    <phoneticPr fontId="1" type="noConversion"/>
  </si>
  <si>
    <t>C 6 -30.67</t>
    <phoneticPr fontId="1" type="noConversion"/>
  </si>
  <si>
    <t>D6 -18.06</t>
    <phoneticPr fontId="1" type="noConversion"/>
  </si>
  <si>
    <t>E5 +22.74</t>
    <phoneticPr fontId="1" type="noConversion"/>
  </si>
  <si>
    <t>D#5 -3.26</t>
    <phoneticPr fontId="1" type="noConversion"/>
  </si>
  <si>
    <t>G5 +4.47</t>
    <phoneticPr fontId="1" type="noConversion"/>
  </si>
  <si>
    <t>A6 -47.64</t>
    <phoneticPr fontId="1" type="noConversion"/>
  </si>
  <si>
    <t>A#6 -41.44</t>
    <phoneticPr fontId="1" type="noConversion"/>
  </si>
  <si>
    <t>C6 -25.63</t>
    <phoneticPr fontId="1" type="noConversion"/>
  </si>
  <si>
    <t>D6 -13.60</t>
    <phoneticPr fontId="1" type="noConversion"/>
  </si>
  <si>
    <t>beating ratio of 6 hz. Pengumbang octave stretching, (6hz) freq/2-3 to lower. Freqx2+6 to raise. Pengisep freq/2 to lower, freqx2 to raise</t>
    <phoneticPr fontId="1" type="noConversion"/>
  </si>
  <si>
    <t>d#4 -.98</t>
    <phoneticPr fontId="1" type="noConversion"/>
  </si>
  <si>
    <t>e4 +28.87</t>
    <phoneticPr fontId="1" type="noConversion"/>
  </si>
  <si>
    <t>a4 -40.27</t>
    <phoneticPr fontId="1" type="noConversion"/>
  </si>
  <si>
    <t>a#4 -41.57</t>
    <phoneticPr fontId="1" type="noConversion"/>
  </si>
  <si>
    <t>d4 -17.82</t>
    <phoneticPr fontId="1" type="noConversion"/>
  </si>
  <si>
    <t>d#4 -3.26</t>
    <phoneticPr fontId="1" type="noConversion"/>
  </si>
  <si>
    <t>E4 +22.74</t>
    <phoneticPr fontId="1" type="noConversion"/>
  </si>
  <si>
    <t>G4 +4.47</t>
    <phoneticPr fontId="1" type="noConversion"/>
  </si>
  <si>
    <t>A5 -47.64</t>
    <phoneticPr fontId="1" type="noConversion"/>
  </si>
  <si>
    <t>A#5 -41.44</t>
    <phoneticPr fontId="1" type="noConversion"/>
  </si>
  <si>
    <t>C5 -26.63</t>
    <phoneticPr fontId="1" type="noConversion"/>
  </si>
  <si>
    <t>D6 -13.6</t>
    <phoneticPr fontId="1" type="noConversion"/>
  </si>
  <si>
    <t>deung</t>
    <phoneticPr fontId="1" type="noConversion"/>
  </si>
  <si>
    <t>c#4 +46.08</t>
    <phoneticPr fontId="1" type="noConversion"/>
  </si>
  <si>
    <t>G4 -22.19</t>
    <phoneticPr fontId="1" type="noConversion"/>
  </si>
  <si>
    <t>C4 -45.89</t>
    <phoneticPr fontId="1" type="noConversion"/>
  </si>
  <si>
    <t>D4 -17.8</t>
    <phoneticPr fontId="1" type="noConversion"/>
  </si>
  <si>
    <t>G4 +4.43</t>
    <phoneticPr fontId="1" type="noConversion"/>
  </si>
  <si>
    <t>C4 -25.63</t>
    <phoneticPr fontId="1" type="noConversion"/>
  </si>
  <si>
    <t>key#</t>
    <phoneticPr fontId="1" type="noConversion"/>
  </si>
  <si>
    <t>dong/dong</t>
    <phoneticPr fontId="1" type="noConversion"/>
  </si>
  <si>
    <t>pitch +/- cents</t>
    <phoneticPr fontId="1" type="noConversion"/>
  </si>
  <si>
    <t>Hz</t>
    <phoneticPr fontId="1" type="noConversion"/>
  </si>
  <si>
    <t>dong</t>
    <phoneticPr fontId="1" type="noConversion"/>
  </si>
  <si>
    <t>Key#</t>
    <phoneticPr fontId="1" type="noConversion"/>
  </si>
  <si>
    <t>Pengisep pemade</t>
    <phoneticPr fontId="1" type="noConversion"/>
  </si>
  <si>
    <t>ding/dong</t>
    <phoneticPr fontId="1" type="noConversion"/>
  </si>
  <si>
    <t>pitch/cents</t>
    <phoneticPr fontId="1" type="noConversion"/>
  </si>
  <si>
    <t>deng</t>
    <phoneticPr fontId="1" type="noConversion"/>
  </si>
  <si>
    <t>e4 - 2.4</t>
    <phoneticPr fontId="1" type="noConversion"/>
  </si>
  <si>
    <t>d#4 -34.70</t>
    <phoneticPr fontId="1" type="noConversion"/>
  </si>
  <si>
    <t>dung</t>
    <phoneticPr fontId="1" type="noConversion"/>
  </si>
  <si>
    <t>g#4 +35.40</t>
    <phoneticPr fontId="1" type="noConversion"/>
  </si>
  <si>
    <t>dang</t>
    <phoneticPr fontId="1" type="noConversion"/>
  </si>
  <si>
    <t>a4 + 35.40</t>
    <phoneticPr fontId="1" type="noConversion"/>
  </si>
  <si>
    <t>ding</t>
    <phoneticPr fontId="1" type="noConversion"/>
  </si>
  <si>
    <t>c# 5 +64.10</t>
    <phoneticPr fontId="1" type="noConversion"/>
  </si>
  <si>
    <t>d#5 -20.2</t>
    <phoneticPr fontId="1" type="noConversion"/>
  </si>
  <si>
    <t>dang</t>
    <phoneticPr fontId="1" type="noConversion"/>
  </si>
  <si>
    <t>ding</t>
    <phoneticPr fontId="1" type="noConversion"/>
  </si>
  <si>
    <t>deng</t>
    <phoneticPr fontId="1" type="noConversion"/>
  </si>
  <si>
    <t>e5 +7</t>
    <phoneticPr fontId="1" type="noConversion"/>
  </si>
  <si>
    <t>ding</t>
    <phoneticPr fontId="1" type="noConversion"/>
  </si>
  <si>
    <t>deung</t>
    <phoneticPr fontId="1" type="noConversion"/>
  </si>
  <si>
    <t>g5 -8.8</t>
    <phoneticPr fontId="1" type="noConversion"/>
  </si>
  <si>
    <t>dung</t>
    <phoneticPr fontId="1" type="noConversion"/>
  </si>
  <si>
    <t>g#5 +40.2</t>
    <phoneticPr fontId="1" type="noConversion"/>
  </si>
  <si>
    <t>deng</t>
    <phoneticPr fontId="1" type="noConversion"/>
  </si>
  <si>
    <t>deung</t>
    <phoneticPr fontId="1" type="noConversion"/>
  </si>
  <si>
    <t>dang</t>
    <phoneticPr fontId="1" type="noConversion"/>
  </si>
  <si>
    <t>a5 +47.10</t>
    <phoneticPr fontId="1" type="noConversion"/>
  </si>
  <si>
    <t>daing</t>
    <phoneticPr fontId="1" type="noConversion"/>
  </si>
  <si>
    <t>b5+ 64.30</t>
    <phoneticPr fontId="1" type="noConversion"/>
  </si>
  <si>
    <t>daing</t>
    <phoneticPr fontId="1" type="noConversion"/>
  </si>
  <si>
    <t>c#6 + 77.5</t>
    <phoneticPr fontId="1" type="noConversion"/>
  </si>
  <si>
    <t xml:space="preserve">Hz (+6) </t>
    <phoneticPr fontId="1" type="noConversion"/>
  </si>
  <si>
    <t>calung pengumbang range (low 1)</t>
    <phoneticPr fontId="1" type="noConversion"/>
  </si>
  <si>
    <t>ding/dong</t>
    <phoneticPr fontId="1" type="noConversion"/>
  </si>
  <si>
    <t>calung pengisep</t>
    <phoneticPr fontId="1" type="noConversion"/>
  </si>
  <si>
    <t>key#</t>
    <phoneticPr fontId="1" type="noConversion"/>
  </si>
  <si>
    <t>pitch/cents</t>
    <phoneticPr fontId="1" type="noConversion"/>
  </si>
  <si>
    <t>hz</t>
    <phoneticPr fontId="1" type="noConversion"/>
  </si>
  <si>
    <t>key#</t>
    <phoneticPr fontId="1" type="noConversion"/>
  </si>
  <si>
    <t>Jegogan pengumbang</t>
    <phoneticPr fontId="1" type="noConversion"/>
  </si>
  <si>
    <t>jegogan Pengisep</t>
    <phoneticPr fontId="1" type="noConversion"/>
  </si>
  <si>
    <t>ding</t>
    <phoneticPr fontId="1" type="noConversion"/>
  </si>
  <si>
    <t>dong</t>
    <phoneticPr fontId="1" type="noConversion"/>
  </si>
  <si>
    <t>deng</t>
    <phoneticPr fontId="1" type="noConversion"/>
  </si>
  <si>
    <t>deung</t>
    <phoneticPr fontId="1" type="noConversion"/>
  </si>
  <si>
    <t>dung</t>
    <phoneticPr fontId="1" type="noConversion"/>
  </si>
  <si>
    <t>dang</t>
    <phoneticPr fontId="1" type="noConversion"/>
  </si>
  <si>
    <t>daing</t>
    <phoneticPr fontId="1" type="noConversion"/>
  </si>
  <si>
    <t>Ngumbang</t>
  </si>
  <si>
    <t>Ngisep</t>
  </si>
  <si>
    <t>Key Number</t>
  </si>
  <si>
    <t>Syllable</t>
  </si>
  <si>
    <t>Jegogan</t>
  </si>
  <si>
    <t>Calung</t>
  </si>
  <si>
    <t>pemade</t>
  </si>
  <si>
    <t>kantil</t>
  </si>
  <si>
    <t>reyong</t>
  </si>
  <si>
    <t>ding</t>
  </si>
  <si>
    <t>dong</t>
  </si>
  <si>
    <t>deng</t>
  </si>
  <si>
    <t>deung</t>
  </si>
  <si>
    <t>dung</t>
  </si>
  <si>
    <t>dang</t>
  </si>
  <si>
    <t>daing</t>
  </si>
  <si>
    <t>compressed 6 hz from pemade</t>
  </si>
  <si>
    <t>compressed 9 hz from pemade</t>
  </si>
  <si>
    <t>compressed 8 hz from pemade</t>
  </si>
  <si>
    <t>compressed 10 hz from pemade</t>
  </si>
  <si>
    <t xml:space="preserve">compression in ngisep. Seems to becomes more even in the middle, and stretch further as it gets higher. </t>
  </si>
  <si>
    <t>calung ngumbang intervals</t>
  </si>
  <si>
    <t>jegog ngumbang intervals</t>
  </si>
  <si>
    <t>hz</t>
  </si>
  <si>
    <t>cents</t>
  </si>
  <si>
    <t>pemade ngumbang intervals</t>
  </si>
  <si>
    <t>kantil ngumbang intervals</t>
  </si>
  <si>
    <t>?</t>
  </si>
  <si>
    <t>pemade considered model octave</t>
  </si>
  <si>
    <t>sharp 4 hz from pemade</t>
  </si>
  <si>
    <t>sharp 3 hz from pemade</t>
  </si>
  <si>
    <t>sharp 1 hz from pemade</t>
  </si>
  <si>
    <t>perfect octave from pemade</t>
  </si>
  <si>
    <t>sharp 2 hz from pemade</t>
  </si>
  <si>
    <t xml:space="preserve"> </t>
  </si>
  <si>
    <t>octaves between ngumbang instruments essentially perfect. Some a little above some a little below, some right on.</t>
  </si>
  <si>
    <t>sharp 4 hz from calung</t>
  </si>
  <si>
    <t>sharp 2 hz from calung</t>
  </si>
  <si>
    <t>sharp 3 hz from calung</t>
  </si>
  <si>
    <t>sharp 5 hz from calung</t>
  </si>
  <si>
    <t>same as calung</t>
  </si>
  <si>
    <t>that is, smaller than a real octave</t>
  </si>
  <si>
    <t xml:space="preserve">kantil octaves are flatter than true octaves, compress. Lower octaves are sharper, also compressing in. </t>
  </si>
  <si>
    <t>has moved to about 513</t>
  </si>
  <si>
    <t>applying cent intervals from Subandi's gamelan:</t>
  </si>
  <si>
    <t>c#</t>
  </si>
  <si>
    <t>d</t>
  </si>
  <si>
    <t>e</t>
  </si>
  <si>
    <t>f#</t>
  </si>
  <si>
    <t>g#</t>
  </si>
  <si>
    <t>a</t>
  </si>
  <si>
    <t>b</t>
  </si>
  <si>
    <t>that is, subandi's set is much more diatonic</t>
  </si>
  <si>
    <t>that is, cudamani's is much further from diatonis than subandi's. esp the interval between d-e, very short. And the f# is very high</t>
  </si>
  <si>
    <t xml:space="preserve">his ding is D5 plus 10 cents (597 hz), from there very diatonis. </t>
  </si>
  <si>
    <t>the resonators want the keys to come down.</t>
  </si>
  <si>
    <t>Qc gamelan pengumbang middle octave</t>
  </si>
  <si>
    <t>pengisiep</t>
  </si>
  <si>
    <t xml:space="preserve">(1140 + 7) </t>
  </si>
  <si>
    <t>My Gamelan 2011 model octave. Pengumbang octave stretching. 7 hz beating</t>
  </si>
  <si>
    <t>pengumbang</t>
  </si>
  <si>
    <t>old hz</t>
  </si>
  <si>
    <t>(577 x 2)</t>
  </si>
  <si>
    <t>Pemade Ngumbang</t>
  </si>
  <si>
    <t>Pemade Pengisep</t>
  </si>
  <si>
    <t>Calung Ngumbang</t>
  </si>
  <si>
    <t>Calung Ngisep</t>
  </si>
  <si>
    <t>Jegogan Numbgang</t>
  </si>
  <si>
    <t>Jegogan Ngisep</t>
  </si>
  <si>
    <t>Kantil Ngumbang</t>
  </si>
  <si>
    <t>Kantil Pengisep</t>
  </si>
  <si>
    <t>bring this down 1 hz, the pengumbang doesn't want to move</t>
  </si>
  <si>
    <t xml:space="preserve">In that case, and for minor changes, hammer from the outisde on the lambe as close to the boss as possible. Hammering further out or on the lambe produces unpredictable result. This is effective up to about 5hz sharp. </t>
  </si>
  <si>
    <t xml:space="preserve">if it is flat, hammer the inside on the angle from the lambe to the sholder, or grind the boss itself. </t>
  </si>
  <si>
    <t>Beleganjur</t>
  </si>
  <si>
    <t>GW</t>
  </si>
  <si>
    <t>GL</t>
  </si>
  <si>
    <t>octaves:</t>
  </si>
  <si>
    <t>kempur</t>
  </si>
  <si>
    <t>u</t>
  </si>
  <si>
    <t>o</t>
  </si>
  <si>
    <t xml:space="preserve">just a smidge ombak. </t>
  </si>
  <si>
    <t>pitch #</t>
  </si>
  <si>
    <t>interval in cents</t>
  </si>
  <si>
    <t>octave</t>
  </si>
  <si>
    <t xml:space="preserve">tuning pots down. Grind the lambe from the inside. That works to a point. then it starts acting odd and may even go sharp again. </t>
  </si>
  <si>
    <t>pemade ngumbang</t>
  </si>
  <si>
    <t>B- 4 -28c</t>
  </si>
  <si>
    <t>E- 5 -15c</t>
  </si>
  <si>
    <t>C5 -20c</t>
  </si>
  <si>
    <t>G#4 -31c</t>
  </si>
  <si>
    <t>DC angklung</t>
  </si>
  <si>
    <t>typical angklung rate: 7hz</t>
  </si>
  <si>
    <t>E- 5 +15</t>
  </si>
  <si>
    <t>C5 +44</t>
  </si>
  <si>
    <t xml:space="preserve">B- 4 +4 </t>
  </si>
  <si>
    <t>G#4 +12c</t>
  </si>
  <si>
    <t>pemade 1</t>
  </si>
  <si>
    <t>pemade 2</t>
  </si>
  <si>
    <t>Subandi angklung ngumbang</t>
  </si>
  <si>
    <t>Sarah Lawrence 6/28/12 pemade ngumbang</t>
  </si>
  <si>
    <t>G4 +48</t>
  </si>
  <si>
    <t>B- 4 -7</t>
  </si>
  <si>
    <t>C5 -33</t>
  </si>
  <si>
    <t>E- 5 -25</t>
  </si>
  <si>
    <t xml:space="preserve">Target: </t>
  </si>
  <si>
    <t>Pemade Ngisep</t>
  </si>
  <si>
    <t xml:space="preserve">Pemade Ngumbang </t>
  </si>
  <si>
    <t>Kantil Ngisep</t>
  </si>
  <si>
    <t>Jegogan Ngumbang</t>
  </si>
  <si>
    <t xml:space="preserve">if pots are flat, hammer the inside on the angle from the lambe to the sholder, or grind the boss itself. </t>
  </si>
  <si>
    <t xml:space="preserve">First mark cases/leys as ngumbang/ngisep. Measure all diameters and depths for resonators. </t>
  </si>
  <si>
    <t>Penyacah Bang</t>
  </si>
  <si>
    <t>Penyacah Sip</t>
  </si>
  <si>
    <t>in inchesw. offset</t>
  </si>
  <si>
    <t>resonator L cm</t>
  </si>
  <si>
    <t>L cm</t>
  </si>
  <si>
    <t xml:space="preserve">L inches </t>
  </si>
  <si>
    <t xml:space="preserve">L cm </t>
  </si>
  <si>
    <t>L inches</t>
  </si>
  <si>
    <t>w. offset - .85r</t>
  </si>
  <si>
    <t>w. offset -.85r</t>
  </si>
  <si>
    <t xml:space="preserve">buy a handpunch from a blacksmith supply. Cut a hole in a piece of woode for the boss to pass through. Place clay around the hole to stabilize the body. This will avoid pressur on the boss during hammering. </t>
  </si>
  <si>
    <t xml:space="preserve">E4 +7 </t>
  </si>
  <si>
    <t>g4 -26</t>
  </si>
  <si>
    <t>g#4 +27</t>
  </si>
  <si>
    <t>a4 +35</t>
  </si>
  <si>
    <t>b4 +41</t>
  </si>
  <si>
    <t>d4 +37</t>
  </si>
  <si>
    <t>c#4 + 23</t>
  </si>
  <si>
    <t>F#4 +23</t>
  </si>
  <si>
    <t>G4 +17</t>
  </si>
  <si>
    <t>c5 +22</t>
  </si>
  <si>
    <t>d5 +25</t>
  </si>
  <si>
    <t>f#5 +25</t>
  </si>
  <si>
    <t>G5 +26</t>
  </si>
  <si>
    <t>Vitale on creating tubes, from listserv: Either will work, since the tube is only functioning as an air
chamber, in a way. As long as the walls of the tube are hard and
stiff, and the seal on the bottom* has no leaks, the material doesn't
matter. In other words, the material doesn't contribute to the sound
color, as it would on an idiophone (e.g. marimba).
The harder part is finding tubes in a variety of diameters, to suit
the particular frequency of each key or group of keys -- and to fit
into the instrument without much extra woodworking. You might try
going to a plumbing company to ask. The ideal would be tubes in 1/4"
increments, but I don't know if they're out there.
*You'll have to create the bottom node, by cutting a disc of like
material and glueing it in. Tip: Start with a tube that's several
inches, or even a foot, too long. Glue in the node to an approximate
position. Cut the sounding length a touch too long at first; then
slowly zero in on the resonant pitch you're after -- fine cuttings, so
to speak. You'll get the hang of it fast. Lastly, cut the other
(non-sounding) side of the tube to the proper height to fit the
instrument.</t>
  </si>
  <si>
    <t>replacement ugal key. Low dung. 206.67 out of the box. Replaced on May 30, 2013.</t>
  </si>
  <si>
    <t xml:space="preserve">compressed pengisep is rare (Vitale tuning approach), does Jes set also incorporate this? If so what does this say for this particular tuning system and intercultural collaboration. </t>
  </si>
  <si>
    <t>pemade pengumbang (reference: cudamani gamelan pengosekan) Pande Sukerta</t>
  </si>
  <si>
    <t>Cent Intervals. Pemade Pengumbang Middle octave</t>
  </si>
  <si>
    <t xml:space="preserve">tuning with grinder heats keys, appears to raise pitch by about 1 hz. Come down after cooling.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</si>
</sst>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name val="Verdana"/>
    </font>
    <font>
      <sz val="8"/>
      <name val="Verdana"/>
    </font>
    <font>
      <u/>
      <sz val="10"/>
      <color theme="10"/>
      <name val="Verdana"/>
    </font>
    <font>
      <u/>
      <sz val="10"/>
      <color theme="11"/>
      <name val="Verdana"/>
    </font>
    <font>
      <b/>
      <sz val="10"/>
      <name val="Verdana"/>
    </font>
  </fonts>
  <fills count="2">
    <fill>
      <patternFill patternType="none"/>
    </fill>
    <fill>
      <patternFill patternType="gray125"/>
    </fill>
  </fills>
  <borders count="1">
    <border>
      <left/>
      <right/>
      <top/>
      <bottom/>
      <diagonal/>
    </border>
  </borders>
  <cellStyleXfs count="93">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3">
    <xf numFmtId="0" fontId="0" fillId="0" borderId="0" xfId="0"/>
    <xf numFmtId="0" fontId="4" fillId="0" borderId="0" xfId="0" applyFont="1"/>
    <xf numFmtId="0" fontId="0" fillId="0" borderId="0" xfId="0" applyAlignment="1">
      <alignment wrapText="1"/>
    </xf>
  </cellXfs>
  <cellStyles count="9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enableFormatConditionsCalculation="0"/>
  <dimension ref="A1:AN105"/>
  <sheetViews>
    <sheetView tabSelected="1" topLeftCell="I18" workbookViewId="0">
      <selection activeCell="AC104" sqref="AC104"/>
    </sheetView>
  </sheetViews>
  <sheetFormatPr baseColWidth="10" defaultRowHeight="13" x14ac:dyDescent="0"/>
  <cols>
    <col min="3" max="3" width="13.28515625" customWidth="1"/>
    <col min="23" max="23" width="13.7109375" customWidth="1"/>
    <col min="25" max="25" width="13.28515625" customWidth="1"/>
  </cols>
  <sheetData>
    <row r="1" spans="1:17">
      <c r="A1" t="s">
        <v>33</v>
      </c>
    </row>
    <row r="3" spans="1:17">
      <c r="A3" t="s">
        <v>245</v>
      </c>
      <c r="F3" t="s">
        <v>59</v>
      </c>
    </row>
    <row r="5" spans="1:17">
      <c r="A5" t="s">
        <v>53</v>
      </c>
      <c r="B5" t="s">
        <v>54</v>
      </c>
      <c r="C5" t="s">
        <v>55</v>
      </c>
      <c r="D5" t="s">
        <v>56</v>
      </c>
      <c r="F5" t="s">
        <v>58</v>
      </c>
      <c r="G5" t="s">
        <v>60</v>
      </c>
      <c r="H5" t="s">
        <v>61</v>
      </c>
      <c r="I5" t="s">
        <v>89</v>
      </c>
    </row>
    <row r="6" spans="1:17">
      <c r="A6">
        <v>1</v>
      </c>
      <c r="B6" t="s">
        <v>57</v>
      </c>
      <c r="C6" t="s">
        <v>64</v>
      </c>
      <c r="D6">
        <v>304.95</v>
      </c>
      <c r="F6">
        <v>1</v>
      </c>
      <c r="G6" t="s">
        <v>57</v>
      </c>
      <c r="H6" t="s">
        <v>34</v>
      </c>
      <c r="I6">
        <v>310.95</v>
      </c>
      <c r="L6" t="s">
        <v>246</v>
      </c>
      <c r="P6" t="s">
        <v>150</v>
      </c>
    </row>
    <row r="7" spans="1:17">
      <c r="A7">
        <v>2</v>
      </c>
      <c r="B7" t="s">
        <v>62</v>
      </c>
      <c r="C7" t="s">
        <v>63</v>
      </c>
      <c r="D7">
        <v>329.17</v>
      </c>
      <c r="F7">
        <v>2</v>
      </c>
      <c r="G7" t="s">
        <v>62</v>
      </c>
      <c r="H7" t="s">
        <v>35</v>
      </c>
      <c r="I7">
        <v>335.17</v>
      </c>
      <c r="M7" t="s">
        <v>130</v>
      </c>
      <c r="N7" t="s">
        <v>129</v>
      </c>
    </row>
    <row r="8" spans="1:17">
      <c r="A8">
        <v>3</v>
      </c>
      <c r="B8" t="s">
        <v>65</v>
      </c>
      <c r="C8" t="s">
        <v>66</v>
      </c>
      <c r="D8">
        <v>423.88</v>
      </c>
      <c r="F8">
        <v>3</v>
      </c>
      <c r="G8" t="s">
        <v>65</v>
      </c>
      <c r="H8" t="s">
        <v>36</v>
      </c>
      <c r="I8">
        <v>429.88</v>
      </c>
      <c r="L8" t="s">
        <v>115</v>
      </c>
      <c r="N8">
        <v>575</v>
      </c>
      <c r="O8" t="s">
        <v>151</v>
      </c>
      <c r="P8">
        <v>575</v>
      </c>
    </row>
    <row r="9" spans="1:17">
      <c r="A9">
        <v>4</v>
      </c>
      <c r="B9" t="s">
        <v>67</v>
      </c>
      <c r="C9" t="s">
        <v>68</v>
      </c>
      <c r="D9">
        <v>449.1</v>
      </c>
      <c r="F9">
        <v>4</v>
      </c>
      <c r="G9" t="s">
        <v>72</v>
      </c>
      <c r="H9" t="s">
        <v>37</v>
      </c>
      <c r="I9">
        <v>455.1</v>
      </c>
      <c r="M9">
        <v>116</v>
      </c>
      <c r="Q9">
        <v>101</v>
      </c>
    </row>
    <row r="10" spans="1:17">
      <c r="A10">
        <v>5</v>
      </c>
      <c r="B10" t="s">
        <v>69</v>
      </c>
      <c r="C10" t="s">
        <v>70</v>
      </c>
      <c r="D10">
        <v>575.30999999999995</v>
      </c>
      <c r="F10">
        <v>5</v>
      </c>
      <c r="G10" t="s">
        <v>73</v>
      </c>
      <c r="H10" t="s">
        <v>38</v>
      </c>
      <c r="I10">
        <v>581.30999999999995</v>
      </c>
      <c r="L10" t="s">
        <v>116</v>
      </c>
      <c r="N10">
        <v>615</v>
      </c>
      <c r="O10" t="s">
        <v>152</v>
      </c>
      <c r="P10">
        <v>609</v>
      </c>
    </row>
    <row r="11" spans="1:17">
      <c r="A11">
        <v>6</v>
      </c>
      <c r="B11" t="s">
        <v>57</v>
      </c>
      <c r="C11" t="s">
        <v>71</v>
      </c>
      <c r="D11">
        <v>615.08000000000004</v>
      </c>
      <c r="F11">
        <v>6</v>
      </c>
      <c r="G11" t="s">
        <v>57</v>
      </c>
      <c r="H11" t="s">
        <v>39</v>
      </c>
      <c r="I11">
        <v>621.08000000000004</v>
      </c>
      <c r="M11">
        <v>127</v>
      </c>
      <c r="Q11">
        <v>203</v>
      </c>
    </row>
    <row r="12" spans="1:17">
      <c r="A12">
        <v>7</v>
      </c>
      <c r="B12" t="s">
        <v>74</v>
      </c>
      <c r="C12" t="s">
        <v>75</v>
      </c>
      <c r="D12">
        <v>661.97</v>
      </c>
      <c r="F12">
        <v>7</v>
      </c>
      <c r="G12" t="s">
        <v>81</v>
      </c>
      <c r="H12" t="s">
        <v>40</v>
      </c>
      <c r="I12">
        <v>667.97</v>
      </c>
      <c r="L12" t="s">
        <v>117</v>
      </c>
      <c r="N12">
        <v>661</v>
      </c>
      <c r="O12" t="s">
        <v>153</v>
      </c>
      <c r="P12">
        <v>684</v>
      </c>
    </row>
    <row r="13" spans="1:17">
      <c r="A13">
        <v>8</v>
      </c>
      <c r="B13" t="s">
        <v>77</v>
      </c>
      <c r="C13" t="s">
        <v>78</v>
      </c>
      <c r="D13">
        <v>780.02</v>
      </c>
      <c r="F13">
        <v>8</v>
      </c>
      <c r="G13" t="s">
        <v>82</v>
      </c>
      <c r="H13" t="s">
        <v>41</v>
      </c>
      <c r="I13">
        <v>786.02</v>
      </c>
      <c r="M13">
        <v>283</v>
      </c>
      <c r="Q13">
        <v>203</v>
      </c>
    </row>
    <row r="14" spans="1:17">
      <c r="A14">
        <v>9</v>
      </c>
      <c r="B14" t="s">
        <v>79</v>
      </c>
      <c r="C14" t="s">
        <v>80</v>
      </c>
      <c r="D14">
        <v>850.11</v>
      </c>
      <c r="F14">
        <v>9</v>
      </c>
      <c r="G14" t="s">
        <v>65</v>
      </c>
      <c r="H14" t="s">
        <v>42</v>
      </c>
      <c r="I14">
        <v>856.11</v>
      </c>
      <c r="L14" t="s">
        <v>118</v>
      </c>
      <c r="N14">
        <v>780</v>
      </c>
      <c r="O14" t="s">
        <v>154</v>
      </c>
      <c r="P14">
        <v>769</v>
      </c>
    </row>
    <row r="15" spans="1:17">
      <c r="A15">
        <v>10</v>
      </c>
      <c r="B15" t="s">
        <v>83</v>
      </c>
      <c r="C15" t="s">
        <v>84</v>
      </c>
      <c r="D15">
        <v>904.27</v>
      </c>
      <c r="F15">
        <v>10</v>
      </c>
      <c r="G15" t="s">
        <v>67</v>
      </c>
      <c r="H15" t="s">
        <v>43</v>
      </c>
      <c r="I15">
        <v>910.27</v>
      </c>
      <c r="M15">
        <v>148</v>
      </c>
      <c r="Q15">
        <v>197</v>
      </c>
    </row>
    <row r="16" spans="1:17">
      <c r="A16">
        <v>11</v>
      </c>
      <c r="B16" t="s">
        <v>85</v>
      </c>
      <c r="C16" t="s">
        <v>86</v>
      </c>
      <c r="D16">
        <v>1025.1199999999999</v>
      </c>
      <c r="F16">
        <v>11</v>
      </c>
      <c r="G16" t="s">
        <v>87</v>
      </c>
      <c r="H16" t="s">
        <v>44</v>
      </c>
      <c r="I16">
        <v>1031.1199999999999</v>
      </c>
      <c r="L16" t="s">
        <v>119</v>
      </c>
      <c r="N16">
        <v>850</v>
      </c>
      <c r="O16" t="s">
        <v>155</v>
      </c>
      <c r="P16">
        <v>861</v>
      </c>
    </row>
    <row r="17" spans="1:19">
      <c r="A17">
        <v>12</v>
      </c>
      <c r="B17" t="s">
        <v>69</v>
      </c>
      <c r="C17" t="s">
        <v>88</v>
      </c>
      <c r="D17">
        <v>1159.46</v>
      </c>
      <c r="F17">
        <v>12</v>
      </c>
      <c r="G17" t="s">
        <v>76</v>
      </c>
      <c r="H17" t="s">
        <v>45</v>
      </c>
      <c r="I17">
        <v>1165.46</v>
      </c>
      <c r="M17">
        <v>106</v>
      </c>
      <c r="Q17">
        <v>91</v>
      </c>
    </row>
    <row r="18" spans="1:19">
      <c r="L18" t="s">
        <v>120</v>
      </c>
      <c r="N18">
        <v>904</v>
      </c>
      <c r="O18" t="s">
        <v>156</v>
      </c>
      <c r="P18">
        <v>907</v>
      </c>
    </row>
    <row r="19" spans="1:19">
      <c r="M19">
        <v>217</v>
      </c>
      <c r="Q19">
        <v>204</v>
      </c>
    </row>
    <row r="20" spans="1:19">
      <c r="A20" t="s">
        <v>90</v>
      </c>
      <c r="F20" t="s">
        <v>92</v>
      </c>
      <c r="L20" t="s">
        <v>121</v>
      </c>
      <c r="N20">
        <v>1025</v>
      </c>
      <c r="O20" t="s">
        <v>157</v>
      </c>
      <c r="P20">
        <v>1020</v>
      </c>
    </row>
    <row r="21" spans="1:19">
      <c r="M21">
        <v>212</v>
      </c>
    </row>
    <row r="22" spans="1:19">
      <c r="A22" t="s">
        <v>96</v>
      </c>
      <c r="B22" t="s">
        <v>91</v>
      </c>
      <c r="C22" t="s">
        <v>55</v>
      </c>
      <c r="D22" t="s">
        <v>56</v>
      </c>
      <c r="F22" t="s">
        <v>93</v>
      </c>
      <c r="G22" t="s">
        <v>60</v>
      </c>
      <c r="H22" t="s">
        <v>94</v>
      </c>
      <c r="I22" t="s">
        <v>95</v>
      </c>
      <c r="L22" t="s">
        <v>115</v>
      </c>
      <c r="N22">
        <v>1159</v>
      </c>
      <c r="O22" t="s">
        <v>151</v>
      </c>
      <c r="P22">
        <v>1150</v>
      </c>
    </row>
    <row r="23" spans="1:19">
      <c r="A23">
        <v>1</v>
      </c>
      <c r="B23" t="s">
        <v>76</v>
      </c>
      <c r="C23" t="s">
        <v>47</v>
      </c>
      <c r="D23">
        <v>284.66000000000003</v>
      </c>
      <c r="F23">
        <v>1</v>
      </c>
      <c r="G23" t="s">
        <v>76</v>
      </c>
      <c r="H23" t="s">
        <v>50</v>
      </c>
      <c r="I23">
        <v>290.66000000000003</v>
      </c>
    </row>
    <row r="24" spans="1:19">
      <c r="A24">
        <v>4</v>
      </c>
      <c r="B24" t="s">
        <v>46</v>
      </c>
      <c r="C24" t="s">
        <v>48</v>
      </c>
      <c r="D24">
        <v>387</v>
      </c>
      <c r="F24">
        <v>4</v>
      </c>
      <c r="G24" t="s">
        <v>102</v>
      </c>
      <c r="H24" t="s">
        <v>51</v>
      </c>
      <c r="I24">
        <v>393</v>
      </c>
      <c r="O24" t="s">
        <v>159</v>
      </c>
    </row>
    <row r="25" spans="1:19">
      <c r="A25">
        <v>7</v>
      </c>
      <c r="B25" t="s">
        <v>87</v>
      </c>
      <c r="C25" t="s">
        <v>49</v>
      </c>
      <c r="D25">
        <v>509.56</v>
      </c>
      <c r="F25">
        <v>7</v>
      </c>
      <c r="G25" t="s">
        <v>105</v>
      </c>
      <c r="H25" t="s">
        <v>52</v>
      </c>
      <c r="I25">
        <v>515.55999999999995</v>
      </c>
    </row>
    <row r="26" spans="1:19">
      <c r="D26" t="s">
        <v>149</v>
      </c>
    </row>
    <row r="28" spans="1:19">
      <c r="A28" t="s">
        <v>97</v>
      </c>
      <c r="F28" t="s">
        <v>98</v>
      </c>
    </row>
    <row r="29" spans="1:19">
      <c r="A29">
        <v>1</v>
      </c>
      <c r="B29" t="s">
        <v>99</v>
      </c>
      <c r="C29" t="s">
        <v>5</v>
      </c>
      <c r="D29">
        <v>139.33000000000001</v>
      </c>
      <c r="F29">
        <v>1</v>
      </c>
      <c r="G29" t="s">
        <v>99</v>
      </c>
      <c r="H29" t="s">
        <v>12</v>
      </c>
      <c r="I29">
        <v>145.33000000000001</v>
      </c>
      <c r="L29" t="s">
        <v>161</v>
      </c>
    </row>
    <row r="30" spans="1:19">
      <c r="A30">
        <v>2</v>
      </c>
      <c r="B30" t="s">
        <v>100</v>
      </c>
      <c r="C30" t="s">
        <v>6</v>
      </c>
      <c r="D30">
        <v>149.46</v>
      </c>
      <c r="F30">
        <v>2</v>
      </c>
      <c r="G30" t="s">
        <v>100</v>
      </c>
      <c r="H30" t="s">
        <v>13</v>
      </c>
      <c r="I30">
        <v>155.47999999999999</v>
      </c>
    </row>
    <row r="31" spans="1:19">
      <c r="A31">
        <v>3</v>
      </c>
      <c r="B31" t="s">
        <v>101</v>
      </c>
      <c r="C31" t="s">
        <v>7</v>
      </c>
      <c r="D31">
        <v>161.59</v>
      </c>
      <c r="F31">
        <v>3</v>
      </c>
      <c r="G31" t="s">
        <v>101</v>
      </c>
      <c r="H31" t="s">
        <v>14</v>
      </c>
      <c r="I31">
        <v>167.59</v>
      </c>
    </row>
    <row r="32" spans="1:19">
      <c r="A32">
        <v>4</v>
      </c>
      <c r="B32" t="s">
        <v>102</v>
      </c>
      <c r="C32" t="s">
        <v>8</v>
      </c>
      <c r="D32">
        <v>190.5</v>
      </c>
      <c r="F32">
        <v>4</v>
      </c>
      <c r="G32" t="s">
        <v>102</v>
      </c>
      <c r="H32" t="s">
        <v>15</v>
      </c>
      <c r="I32">
        <v>196.5</v>
      </c>
      <c r="R32" s="1" t="s">
        <v>165</v>
      </c>
      <c r="S32" s="1"/>
    </row>
    <row r="33" spans="1:28">
      <c r="A33">
        <v>5</v>
      </c>
      <c r="B33" t="s">
        <v>103</v>
      </c>
      <c r="C33" t="s">
        <v>9</v>
      </c>
      <c r="D33">
        <v>208.94</v>
      </c>
      <c r="F33">
        <v>5</v>
      </c>
      <c r="G33" t="s">
        <v>103</v>
      </c>
      <c r="H33" t="s">
        <v>16</v>
      </c>
      <c r="I33">
        <v>214.94</v>
      </c>
      <c r="L33" t="s">
        <v>162</v>
      </c>
      <c r="Q33" t="s">
        <v>167</v>
      </c>
      <c r="R33" t="s">
        <v>166</v>
      </c>
      <c r="X33" t="s">
        <v>167</v>
      </c>
      <c r="Z33" t="s">
        <v>163</v>
      </c>
    </row>
    <row r="34" spans="1:28">
      <c r="A34">
        <v>6</v>
      </c>
      <c r="B34" t="s">
        <v>104</v>
      </c>
      <c r="C34" t="s">
        <v>10</v>
      </c>
      <c r="D34">
        <v>221.55</v>
      </c>
      <c r="F34">
        <v>6</v>
      </c>
      <c r="G34" t="s">
        <v>104</v>
      </c>
      <c r="H34" t="s">
        <v>17</v>
      </c>
      <c r="I34">
        <v>227.55</v>
      </c>
      <c r="L34" t="s">
        <v>115</v>
      </c>
      <c r="N34">
        <v>564</v>
      </c>
      <c r="S34" t="s">
        <v>188</v>
      </c>
      <c r="T34" t="s">
        <v>129</v>
      </c>
      <c r="U34" t="s">
        <v>189</v>
      </c>
    </row>
    <row r="35" spans="1:28">
      <c r="A35">
        <v>7</v>
      </c>
      <c r="B35" t="s">
        <v>105</v>
      </c>
      <c r="C35" t="s">
        <v>11</v>
      </c>
      <c r="D35">
        <v>251.78</v>
      </c>
      <c r="F35">
        <v>7</v>
      </c>
      <c r="G35" t="s">
        <v>105</v>
      </c>
      <c r="H35" t="s">
        <v>18</v>
      </c>
      <c r="I35">
        <v>257.77999999999997</v>
      </c>
      <c r="M35">
        <v>113</v>
      </c>
      <c r="Q35">
        <v>575</v>
      </c>
      <c r="R35" t="s">
        <v>115</v>
      </c>
      <c r="S35">
        <v>1</v>
      </c>
      <c r="T35">
        <v>570</v>
      </c>
      <c r="X35">
        <v>581</v>
      </c>
      <c r="Z35" t="s">
        <v>115</v>
      </c>
      <c r="AB35">
        <v>577</v>
      </c>
    </row>
    <row r="36" spans="1:28">
      <c r="L36" t="s">
        <v>116</v>
      </c>
      <c r="N36">
        <v>602</v>
      </c>
      <c r="U36">
        <v>113</v>
      </c>
    </row>
    <row r="37" spans="1:28">
      <c r="M37">
        <v>167</v>
      </c>
      <c r="Q37">
        <v>615</v>
      </c>
      <c r="R37" t="s">
        <v>116</v>
      </c>
      <c r="S37">
        <v>2</v>
      </c>
      <c r="T37">
        <v>608</v>
      </c>
    </row>
    <row r="38" spans="1:28">
      <c r="A38" t="s">
        <v>0</v>
      </c>
      <c r="F38" t="s">
        <v>4</v>
      </c>
      <c r="L38" t="s">
        <v>117</v>
      </c>
      <c r="N38">
        <v>663</v>
      </c>
      <c r="U38">
        <v>168</v>
      </c>
    </row>
    <row r="39" spans="1:28">
      <c r="A39">
        <v>6</v>
      </c>
      <c r="B39" t="s">
        <v>100</v>
      </c>
      <c r="C39" t="s">
        <v>21</v>
      </c>
      <c r="D39">
        <v>1236.1600000000001</v>
      </c>
      <c r="F39">
        <v>6</v>
      </c>
      <c r="G39" t="s">
        <v>100</v>
      </c>
      <c r="H39" t="s">
        <v>27</v>
      </c>
      <c r="I39">
        <v>1242.1600000000001</v>
      </c>
      <c r="M39">
        <v>263</v>
      </c>
      <c r="Q39">
        <v>661</v>
      </c>
      <c r="R39" t="s">
        <v>117</v>
      </c>
      <c r="S39">
        <v>3</v>
      </c>
      <c r="T39">
        <v>670</v>
      </c>
    </row>
    <row r="40" spans="1:28">
      <c r="A40">
        <v>7</v>
      </c>
      <c r="B40" t="s">
        <v>101</v>
      </c>
      <c r="C40" t="s">
        <v>19</v>
      </c>
      <c r="D40">
        <v>1329.94</v>
      </c>
      <c r="F40">
        <v>7</v>
      </c>
      <c r="G40" t="s">
        <v>101</v>
      </c>
      <c r="H40" t="s">
        <v>26</v>
      </c>
      <c r="I40">
        <v>1335.94</v>
      </c>
      <c r="L40" t="s">
        <v>118</v>
      </c>
      <c r="N40">
        <v>772</v>
      </c>
      <c r="U40">
        <v>260</v>
      </c>
    </row>
    <row r="41" spans="1:28">
      <c r="A41">
        <v>8</v>
      </c>
      <c r="B41" t="s">
        <v>102</v>
      </c>
      <c r="C41" t="s">
        <v>20</v>
      </c>
      <c r="D41">
        <v>1566.04</v>
      </c>
      <c r="F41">
        <v>8</v>
      </c>
      <c r="G41" t="s">
        <v>102</v>
      </c>
      <c r="H41" t="s">
        <v>28</v>
      </c>
      <c r="I41">
        <v>1572.04</v>
      </c>
      <c r="M41">
        <v>156</v>
      </c>
      <c r="Q41">
        <v>780</v>
      </c>
      <c r="R41" t="s">
        <v>118</v>
      </c>
      <c r="S41">
        <v>4</v>
      </c>
      <c r="T41">
        <v>779</v>
      </c>
    </row>
    <row r="42" spans="1:28">
      <c r="A42">
        <v>9</v>
      </c>
      <c r="B42" t="s">
        <v>1</v>
      </c>
      <c r="C42" t="s">
        <v>22</v>
      </c>
      <c r="D42">
        <v>1706.22</v>
      </c>
      <c r="F42">
        <v>9</v>
      </c>
      <c r="G42" t="s">
        <v>1</v>
      </c>
      <c r="H42" t="s">
        <v>29</v>
      </c>
      <c r="I42">
        <v>1712.22</v>
      </c>
      <c r="L42" t="s">
        <v>119</v>
      </c>
      <c r="N42">
        <v>845</v>
      </c>
      <c r="U42">
        <v>156</v>
      </c>
    </row>
    <row r="43" spans="1:28">
      <c r="A43">
        <v>10</v>
      </c>
      <c r="B43" t="s">
        <v>2</v>
      </c>
      <c r="C43" t="s">
        <v>23</v>
      </c>
      <c r="D43">
        <v>1814.54</v>
      </c>
      <c r="F43">
        <v>10</v>
      </c>
      <c r="G43" t="s">
        <v>2</v>
      </c>
      <c r="H43" t="s">
        <v>30</v>
      </c>
      <c r="I43">
        <v>1820.54</v>
      </c>
      <c r="M43">
        <v>105</v>
      </c>
      <c r="Q43">
        <v>850</v>
      </c>
      <c r="R43" t="s">
        <v>119</v>
      </c>
      <c r="S43">
        <v>5</v>
      </c>
      <c r="T43">
        <v>852</v>
      </c>
    </row>
    <row r="44" spans="1:28">
      <c r="A44">
        <v>11</v>
      </c>
      <c r="B44" t="s">
        <v>3</v>
      </c>
      <c r="C44" t="s">
        <v>24</v>
      </c>
      <c r="D44">
        <v>2056.2399999999998</v>
      </c>
      <c r="F44">
        <v>11</v>
      </c>
      <c r="G44" t="s">
        <v>3</v>
      </c>
      <c r="H44" t="s">
        <v>31</v>
      </c>
      <c r="I44">
        <v>2062.2399999999998</v>
      </c>
      <c r="L44" t="s">
        <v>120</v>
      </c>
      <c r="N44">
        <v>898</v>
      </c>
      <c r="U44">
        <v>105</v>
      </c>
    </row>
    <row r="45" spans="1:28">
      <c r="A45">
        <v>12</v>
      </c>
      <c r="B45" t="s">
        <v>99</v>
      </c>
      <c r="C45" t="s">
        <v>25</v>
      </c>
      <c r="D45">
        <v>2324.92</v>
      </c>
      <c r="F45">
        <v>12</v>
      </c>
      <c r="G45" t="s">
        <v>99</v>
      </c>
      <c r="H45" t="s">
        <v>32</v>
      </c>
      <c r="I45">
        <v>2330.92</v>
      </c>
      <c r="M45">
        <v>201</v>
      </c>
      <c r="Q45">
        <v>904</v>
      </c>
      <c r="R45" t="s">
        <v>120</v>
      </c>
      <c r="S45">
        <v>6</v>
      </c>
      <c r="T45">
        <v>905</v>
      </c>
    </row>
    <row r="46" spans="1:28">
      <c r="L46" t="s">
        <v>121</v>
      </c>
      <c r="N46">
        <v>1009</v>
      </c>
      <c r="U46">
        <v>205</v>
      </c>
    </row>
    <row r="47" spans="1:28">
      <c r="Q47">
        <v>1025</v>
      </c>
      <c r="R47" t="s">
        <v>121</v>
      </c>
      <c r="S47">
        <v>7</v>
      </c>
      <c r="T47">
        <v>1019</v>
      </c>
    </row>
    <row r="48" spans="1:28">
      <c r="L48" t="s">
        <v>115</v>
      </c>
      <c r="M48">
        <v>193</v>
      </c>
      <c r="N48">
        <v>1128</v>
      </c>
      <c r="U48">
        <v>205</v>
      </c>
    </row>
    <row r="49" spans="17:40">
      <c r="Q49">
        <v>1159</v>
      </c>
      <c r="R49" t="s">
        <v>115</v>
      </c>
      <c r="S49" t="s">
        <v>190</v>
      </c>
      <c r="T49">
        <v>1147</v>
      </c>
      <c r="X49">
        <v>1165</v>
      </c>
      <c r="Z49" t="s">
        <v>115</v>
      </c>
      <c r="AB49">
        <v>1154</v>
      </c>
    </row>
    <row r="50" spans="17:40">
      <c r="T50" t="s">
        <v>164</v>
      </c>
      <c r="AB50" t="s">
        <v>168</v>
      </c>
    </row>
    <row r="54" spans="17:40">
      <c r="R54" s="1"/>
      <c r="S54" s="1"/>
      <c r="W54" s="1" t="s">
        <v>169</v>
      </c>
      <c r="X54" s="1"/>
      <c r="Y54" s="1"/>
      <c r="Z54" s="1" t="s">
        <v>170</v>
      </c>
      <c r="AC54" s="1" t="s">
        <v>171</v>
      </c>
      <c r="AD54" s="1"/>
      <c r="AF54" s="1" t="s">
        <v>172</v>
      </c>
      <c r="AG54" s="1"/>
      <c r="AI54" s="1" t="s">
        <v>173</v>
      </c>
      <c r="AJ54" s="1"/>
      <c r="AL54" s="1" t="s">
        <v>174</v>
      </c>
    </row>
    <row r="55" spans="17:40">
      <c r="W55" t="s">
        <v>116</v>
      </c>
      <c r="X55">
        <v>300.5</v>
      </c>
      <c r="Z55" t="s">
        <v>116</v>
      </c>
      <c r="AA55">
        <v>307.5</v>
      </c>
      <c r="AC55" t="s">
        <v>115</v>
      </c>
      <c r="AD55">
        <v>281.5</v>
      </c>
      <c r="AE55" t="s">
        <v>235</v>
      </c>
      <c r="AF55" t="s">
        <v>115</v>
      </c>
      <c r="AG55">
        <v>288.5</v>
      </c>
      <c r="AI55" t="s">
        <v>115</v>
      </c>
      <c r="AJ55">
        <v>137.25</v>
      </c>
      <c r="AL55" t="s">
        <v>115</v>
      </c>
      <c r="AM55">
        <v>144.25</v>
      </c>
    </row>
    <row r="56" spans="17:40">
      <c r="W56" t="s">
        <v>117</v>
      </c>
      <c r="X56">
        <v>331.5</v>
      </c>
      <c r="Z56" t="s">
        <v>117</v>
      </c>
      <c r="AA56">
        <v>338.5</v>
      </c>
      <c r="AC56" t="s">
        <v>116</v>
      </c>
      <c r="AD56">
        <v>300.5</v>
      </c>
      <c r="AE56" t="s">
        <v>234</v>
      </c>
      <c r="AF56" t="s">
        <v>116</v>
      </c>
      <c r="AG56">
        <v>307.5</v>
      </c>
      <c r="AI56" t="s">
        <v>116</v>
      </c>
      <c r="AJ56">
        <v>146.75</v>
      </c>
      <c r="AL56" t="s">
        <v>116</v>
      </c>
      <c r="AM56">
        <v>153.75</v>
      </c>
    </row>
    <row r="57" spans="17:40">
      <c r="W57" t="s">
        <v>119</v>
      </c>
      <c r="X57">
        <v>422.4</v>
      </c>
      <c r="Z57" t="s">
        <v>119</v>
      </c>
      <c r="AA57">
        <v>429.4</v>
      </c>
      <c r="AC57" t="s">
        <v>117</v>
      </c>
      <c r="AD57">
        <v>331.5</v>
      </c>
      <c r="AE57" t="s">
        <v>229</v>
      </c>
      <c r="AF57" t="s">
        <v>117</v>
      </c>
      <c r="AG57">
        <v>338.5</v>
      </c>
      <c r="AI57" t="s">
        <v>117</v>
      </c>
      <c r="AJ57">
        <v>162.25</v>
      </c>
      <c r="AL57" t="s">
        <v>117</v>
      </c>
      <c r="AM57">
        <v>169.25</v>
      </c>
    </row>
    <row r="58" spans="17:40">
      <c r="W58" t="s">
        <v>120</v>
      </c>
      <c r="X58">
        <v>449</v>
      </c>
      <c r="Z58" t="s">
        <v>120</v>
      </c>
      <c r="AA58">
        <v>456</v>
      </c>
      <c r="AC58" t="s">
        <v>118</v>
      </c>
      <c r="AD58">
        <v>386</v>
      </c>
      <c r="AE58" t="s">
        <v>230</v>
      </c>
      <c r="AF58" t="s">
        <v>118</v>
      </c>
      <c r="AG58">
        <v>393</v>
      </c>
      <c r="AI58" t="s">
        <v>118</v>
      </c>
      <c r="AJ58">
        <v>189.5</v>
      </c>
      <c r="AL58" t="s">
        <v>118</v>
      </c>
      <c r="AM58">
        <v>196.5</v>
      </c>
      <c r="AN58" t="s">
        <v>177</v>
      </c>
    </row>
    <row r="59" spans="17:40">
      <c r="W59" t="s">
        <v>115</v>
      </c>
      <c r="X59">
        <v>570</v>
      </c>
      <c r="Z59" t="s">
        <v>115</v>
      </c>
      <c r="AA59">
        <v>577</v>
      </c>
      <c r="AC59" t="s">
        <v>119</v>
      </c>
      <c r="AD59">
        <v>422.4</v>
      </c>
      <c r="AE59" t="s">
        <v>231</v>
      </c>
      <c r="AF59" t="s">
        <v>119</v>
      </c>
      <c r="AG59">
        <v>429.5</v>
      </c>
      <c r="AI59" t="s">
        <v>119</v>
      </c>
      <c r="AJ59">
        <v>207.75</v>
      </c>
      <c r="AL59" t="s">
        <v>119</v>
      </c>
      <c r="AM59">
        <v>214.75</v>
      </c>
    </row>
    <row r="60" spans="17:40">
      <c r="W60" t="s">
        <v>116</v>
      </c>
      <c r="X60">
        <v>608</v>
      </c>
      <c r="Z60" t="s">
        <v>116</v>
      </c>
      <c r="AA60">
        <v>615</v>
      </c>
      <c r="AC60" t="s">
        <v>120</v>
      </c>
      <c r="AD60">
        <v>449</v>
      </c>
      <c r="AE60" t="s">
        <v>232</v>
      </c>
      <c r="AF60" t="s">
        <v>120</v>
      </c>
      <c r="AG60">
        <v>456</v>
      </c>
      <c r="AI60" t="s">
        <v>120</v>
      </c>
      <c r="AJ60">
        <v>221</v>
      </c>
      <c r="AL60" t="s">
        <v>120</v>
      </c>
      <c r="AM60">
        <v>228</v>
      </c>
    </row>
    <row r="61" spans="17:40">
      <c r="W61" t="s">
        <v>117</v>
      </c>
      <c r="X61">
        <v>670</v>
      </c>
      <c r="Z61" t="s">
        <v>117</v>
      </c>
      <c r="AA61">
        <v>677</v>
      </c>
      <c r="AC61" t="s">
        <v>121</v>
      </c>
      <c r="AD61">
        <v>506</v>
      </c>
      <c r="AE61" t="s">
        <v>233</v>
      </c>
      <c r="AF61" t="s">
        <v>121</v>
      </c>
      <c r="AG61">
        <v>513</v>
      </c>
      <c r="AI61" t="s">
        <v>121</v>
      </c>
      <c r="AJ61">
        <v>249.5</v>
      </c>
      <c r="AL61" t="s">
        <v>121</v>
      </c>
      <c r="AM61">
        <v>256.5</v>
      </c>
    </row>
    <row r="62" spans="17:40">
      <c r="W62" t="s">
        <v>118</v>
      </c>
      <c r="X62">
        <v>779</v>
      </c>
      <c r="Z62" t="s">
        <v>118</v>
      </c>
      <c r="AA62">
        <v>786</v>
      </c>
    </row>
    <row r="63" spans="17:40">
      <c r="W63" t="s">
        <v>119</v>
      </c>
      <c r="X63">
        <v>852</v>
      </c>
      <c r="Z63" t="s">
        <v>119</v>
      </c>
      <c r="AA63">
        <v>859</v>
      </c>
    </row>
    <row r="64" spans="17:40">
      <c r="W64" t="s">
        <v>120</v>
      </c>
      <c r="X64">
        <v>905</v>
      </c>
      <c r="Z64" t="s">
        <v>120</v>
      </c>
      <c r="AA64">
        <v>912</v>
      </c>
      <c r="AI64" t="s">
        <v>243</v>
      </c>
    </row>
    <row r="65" spans="23:29">
      <c r="W65" t="s">
        <v>121</v>
      </c>
      <c r="X65">
        <v>1019</v>
      </c>
      <c r="Z65" t="s">
        <v>121</v>
      </c>
      <c r="AA65">
        <v>1026</v>
      </c>
    </row>
    <row r="66" spans="23:29">
      <c r="W66" t="s">
        <v>115</v>
      </c>
      <c r="X66">
        <v>1147</v>
      </c>
      <c r="Z66" t="s">
        <v>115</v>
      </c>
      <c r="AA66">
        <v>1154</v>
      </c>
    </row>
    <row r="69" spans="23:29">
      <c r="W69" s="1" t="s">
        <v>175</v>
      </c>
      <c r="Z69" s="1" t="s">
        <v>176</v>
      </c>
      <c r="AC69" t="s">
        <v>247</v>
      </c>
    </row>
    <row r="70" spans="23:29">
      <c r="W70" t="s">
        <v>116</v>
      </c>
      <c r="X70">
        <v>608</v>
      </c>
      <c r="Z70" t="s">
        <v>116</v>
      </c>
      <c r="AA70">
        <v>615</v>
      </c>
    </row>
    <row r="71" spans="23:29">
      <c r="W71" t="s">
        <v>117</v>
      </c>
      <c r="X71">
        <v>670</v>
      </c>
      <c r="Z71" t="s">
        <v>117</v>
      </c>
      <c r="AA71">
        <v>677</v>
      </c>
    </row>
    <row r="72" spans="23:29">
      <c r="W72" t="s">
        <v>119</v>
      </c>
      <c r="X72">
        <v>852</v>
      </c>
      <c r="Z72" t="s">
        <v>119</v>
      </c>
      <c r="AA72">
        <v>859</v>
      </c>
    </row>
    <row r="73" spans="23:29">
      <c r="W73" t="s">
        <v>120</v>
      </c>
      <c r="X73">
        <v>905</v>
      </c>
      <c r="Z73" t="s">
        <v>120</v>
      </c>
      <c r="AA73">
        <v>912</v>
      </c>
    </row>
    <row r="74" spans="23:29">
      <c r="W74" t="s">
        <v>115</v>
      </c>
      <c r="X74">
        <v>1147</v>
      </c>
      <c r="Z74" t="s">
        <v>115</v>
      </c>
      <c r="AA74">
        <v>1154</v>
      </c>
    </row>
    <row r="75" spans="23:29">
      <c r="W75" t="s">
        <v>116</v>
      </c>
      <c r="X75">
        <v>1223</v>
      </c>
      <c r="Z75" t="s">
        <v>116</v>
      </c>
      <c r="AA75">
        <v>1230</v>
      </c>
    </row>
    <row r="76" spans="23:29">
      <c r="W76" t="s">
        <v>117</v>
      </c>
      <c r="X76">
        <v>1347</v>
      </c>
      <c r="Z76" t="s">
        <v>117</v>
      </c>
      <c r="AA76">
        <v>1354</v>
      </c>
    </row>
    <row r="77" spans="23:29">
      <c r="W77" t="s">
        <v>118</v>
      </c>
      <c r="X77">
        <v>1564</v>
      </c>
      <c r="Z77" t="s">
        <v>118</v>
      </c>
      <c r="AA77">
        <v>1572</v>
      </c>
    </row>
    <row r="78" spans="23:29">
      <c r="W78" t="s">
        <v>119</v>
      </c>
      <c r="X78">
        <v>1711</v>
      </c>
      <c r="Z78" t="s">
        <v>119</v>
      </c>
      <c r="AA78">
        <v>1718</v>
      </c>
    </row>
    <row r="79" spans="23:29">
      <c r="W79" t="s">
        <v>120</v>
      </c>
      <c r="X79">
        <v>1817</v>
      </c>
      <c r="Z79" t="s">
        <v>120</v>
      </c>
      <c r="AA79">
        <v>1824</v>
      </c>
    </row>
    <row r="80" spans="23:29">
      <c r="W80" t="s">
        <v>121</v>
      </c>
      <c r="X80">
        <v>2045</v>
      </c>
      <c r="Z80" t="s">
        <v>121</v>
      </c>
      <c r="AA80">
        <v>2052</v>
      </c>
    </row>
    <row r="81" spans="21:35">
      <c r="W81" t="s">
        <v>115</v>
      </c>
      <c r="X81">
        <v>2301</v>
      </c>
      <c r="Z81" t="s">
        <v>115</v>
      </c>
      <c r="AA81">
        <v>2308</v>
      </c>
      <c r="AD81" t="s">
        <v>191</v>
      </c>
    </row>
    <row r="82" spans="21:35">
      <c r="AD82" t="s">
        <v>178</v>
      </c>
    </row>
    <row r="83" spans="21:35">
      <c r="AD83" t="s">
        <v>228</v>
      </c>
    </row>
    <row r="85" spans="21:35">
      <c r="AD85" t="s">
        <v>179</v>
      </c>
    </row>
    <row r="87" spans="21:35">
      <c r="U87" s="1" t="s">
        <v>218</v>
      </c>
      <c r="W87" t="s">
        <v>221</v>
      </c>
      <c r="X87" s="1" t="s">
        <v>219</v>
      </c>
      <c r="Z87" t="s">
        <v>221</v>
      </c>
    </row>
    <row r="88" spans="21:35">
      <c r="U88" t="s">
        <v>115</v>
      </c>
      <c r="V88">
        <v>570</v>
      </c>
      <c r="W88">
        <f>34320/(V88*4)</f>
        <v>15.052631578947368</v>
      </c>
      <c r="X88" t="s">
        <v>115</v>
      </c>
      <c r="Y88">
        <v>577</v>
      </c>
      <c r="Z88">
        <f>34320/(Y88*4)</f>
        <v>14.870017331022531</v>
      </c>
    </row>
    <row r="89" spans="21:35">
      <c r="U89" t="s">
        <v>116</v>
      </c>
      <c r="V89">
        <v>608</v>
      </c>
      <c r="W89">
        <f t="shared" ref="W89:W94" si="0">34320/(V89*4)</f>
        <v>14.111842105263158</v>
      </c>
      <c r="X89" t="s">
        <v>116</v>
      </c>
      <c r="Y89">
        <v>615</v>
      </c>
      <c r="Z89">
        <f t="shared" ref="Z89:Z94" si="1">34320/(Y89*4)</f>
        <v>13.951219512195122</v>
      </c>
      <c r="AD89" t="s">
        <v>180</v>
      </c>
    </row>
    <row r="90" spans="21:35">
      <c r="U90" t="s">
        <v>117</v>
      </c>
      <c r="V90">
        <v>670</v>
      </c>
      <c r="W90">
        <f t="shared" si="0"/>
        <v>12.805970149253731</v>
      </c>
      <c r="X90" t="s">
        <v>117</v>
      </c>
      <c r="Y90">
        <v>677</v>
      </c>
      <c r="Z90">
        <f t="shared" si="1"/>
        <v>12.673559822747414</v>
      </c>
      <c r="AF90" t="s">
        <v>183</v>
      </c>
    </row>
    <row r="91" spans="21:35">
      <c r="U91" t="s">
        <v>118</v>
      </c>
      <c r="V91">
        <v>779</v>
      </c>
      <c r="W91">
        <f t="shared" si="0"/>
        <v>11.014120667522464</v>
      </c>
      <c r="X91" t="s">
        <v>118</v>
      </c>
      <c r="Y91">
        <v>786</v>
      </c>
      <c r="Z91">
        <f t="shared" si="1"/>
        <v>10.916030534351146</v>
      </c>
      <c r="AD91" t="s">
        <v>181</v>
      </c>
      <c r="AE91">
        <v>60.5</v>
      </c>
      <c r="AF91">
        <v>121</v>
      </c>
      <c r="AG91">
        <v>242</v>
      </c>
      <c r="AH91">
        <v>484</v>
      </c>
      <c r="AI91">
        <v>968</v>
      </c>
    </row>
    <row r="92" spans="21:35">
      <c r="U92" t="s">
        <v>119</v>
      </c>
      <c r="V92">
        <v>852</v>
      </c>
      <c r="W92">
        <f t="shared" si="0"/>
        <v>10.070422535211268</v>
      </c>
      <c r="X92" t="s">
        <v>119</v>
      </c>
      <c r="Y92">
        <v>859</v>
      </c>
      <c r="Z92">
        <f t="shared" si="1"/>
        <v>9.9883585564610016</v>
      </c>
      <c r="AD92" t="s">
        <v>182</v>
      </c>
      <c r="AE92">
        <v>68.599999999999994</v>
      </c>
      <c r="AF92">
        <v>137.19999999999999</v>
      </c>
      <c r="AG92">
        <v>274</v>
      </c>
      <c r="AH92">
        <v>548.79999999999995</v>
      </c>
      <c r="AI92">
        <v>1097.5999999999999</v>
      </c>
    </row>
    <row r="93" spans="21:35">
      <c r="U93" t="s">
        <v>120</v>
      </c>
      <c r="V93">
        <v>905</v>
      </c>
      <c r="W93">
        <f t="shared" si="0"/>
        <v>9.4806629834254146</v>
      </c>
      <c r="X93" t="s">
        <v>120</v>
      </c>
      <c r="Y93">
        <v>912</v>
      </c>
      <c r="Z93">
        <f t="shared" si="1"/>
        <v>9.4078947368421044</v>
      </c>
      <c r="AD93" t="s">
        <v>184</v>
      </c>
      <c r="AE93">
        <v>122</v>
      </c>
      <c r="AF93">
        <v>244</v>
      </c>
      <c r="AG93">
        <v>488</v>
      </c>
      <c r="AH93">
        <v>976</v>
      </c>
    </row>
    <row r="94" spans="21:35">
      <c r="U94" t="s">
        <v>121</v>
      </c>
      <c r="V94">
        <v>1019</v>
      </c>
      <c r="W94">
        <f t="shared" si="0"/>
        <v>8.4200196270853773</v>
      </c>
      <c r="X94" t="s">
        <v>121</v>
      </c>
      <c r="Y94">
        <v>1026</v>
      </c>
      <c r="Z94">
        <f t="shared" si="1"/>
        <v>8.3625730994152043</v>
      </c>
    </row>
    <row r="96" spans="21:35">
      <c r="U96" t="s">
        <v>220</v>
      </c>
      <c r="AD96" t="s">
        <v>156</v>
      </c>
      <c r="AE96">
        <v>796</v>
      </c>
      <c r="AH96" t="s">
        <v>241</v>
      </c>
    </row>
    <row r="97" spans="23:34">
      <c r="AD97" t="s">
        <v>185</v>
      </c>
      <c r="AE97">
        <v>750.8</v>
      </c>
      <c r="AH97" t="s">
        <v>240</v>
      </c>
    </row>
    <row r="98" spans="23:34">
      <c r="W98" t="s">
        <v>222</v>
      </c>
      <c r="X98" t="s">
        <v>223</v>
      </c>
      <c r="Y98" t="s">
        <v>226</v>
      </c>
      <c r="Z98" t="s">
        <v>224</v>
      </c>
      <c r="AA98" t="s">
        <v>225</v>
      </c>
      <c r="AB98" t="s">
        <v>227</v>
      </c>
      <c r="AD98" t="s">
        <v>153</v>
      </c>
      <c r="AE98">
        <v>595.9</v>
      </c>
      <c r="AH98" t="s">
        <v>239</v>
      </c>
    </row>
    <row r="99" spans="23:34">
      <c r="W99">
        <v>15.052631578947368</v>
      </c>
      <c r="X99">
        <f>W99*0.39</f>
        <v>5.8705263157894736</v>
      </c>
      <c r="Y99">
        <f>X99-0.85</f>
        <v>5.0205263157894739</v>
      </c>
      <c r="Z99">
        <v>14.870017331022531</v>
      </c>
      <c r="AA99">
        <f>Z99*0.39</f>
        <v>5.799306759098787</v>
      </c>
      <c r="AB99">
        <f>AA99-0.85</f>
        <v>4.9493067590987874</v>
      </c>
      <c r="AD99" t="s">
        <v>186</v>
      </c>
      <c r="AE99">
        <v>529.9</v>
      </c>
      <c r="AH99" t="s">
        <v>238</v>
      </c>
    </row>
    <row r="100" spans="23:34">
      <c r="W100">
        <v>14.111842105263158</v>
      </c>
      <c r="X100">
        <f t="shared" ref="X100:X105" si="2">W100*0.39</f>
        <v>5.5036184210526313</v>
      </c>
      <c r="Y100">
        <f t="shared" ref="Y100:Y103" si="3">X100-0.85</f>
        <v>4.6536184210526317</v>
      </c>
      <c r="Z100">
        <v>13.951219512195122</v>
      </c>
      <c r="AA100">
        <f t="shared" ref="AA100:AA105" si="4">Z100*0.39</f>
        <v>5.440975609756098</v>
      </c>
      <c r="AB100">
        <f t="shared" ref="AB100:AB103" si="5">AA100-0.85</f>
        <v>4.5909756097560983</v>
      </c>
    </row>
    <row r="101" spans="23:34">
      <c r="W101">
        <v>12.805970149253731</v>
      </c>
      <c r="X101">
        <f t="shared" si="2"/>
        <v>4.9943283582089553</v>
      </c>
      <c r="Y101">
        <f t="shared" si="3"/>
        <v>4.1443283582089556</v>
      </c>
      <c r="Z101">
        <v>12.673559822747414</v>
      </c>
      <c r="AA101">
        <f t="shared" si="4"/>
        <v>4.9426883308714915</v>
      </c>
      <c r="AB101">
        <f t="shared" si="5"/>
        <v>4.0926883308714919</v>
      </c>
      <c r="AD101" t="s">
        <v>156</v>
      </c>
      <c r="AE101">
        <v>396</v>
      </c>
      <c r="AF101" t="s">
        <v>187</v>
      </c>
      <c r="AH101" t="s">
        <v>237</v>
      </c>
    </row>
    <row r="102" spans="23:34">
      <c r="W102">
        <v>11.014120667522464</v>
      </c>
      <c r="X102">
        <f t="shared" si="2"/>
        <v>4.2955070603337608</v>
      </c>
      <c r="Y102">
        <f t="shared" si="3"/>
        <v>3.4455070603337608</v>
      </c>
      <c r="Z102">
        <v>10.916030534351146</v>
      </c>
      <c r="AA102">
        <f t="shared" si="4"/>
        <v>4.2572519083969471</v>
      </c>
      <c r="AB102">
        <f t="shared" si="5"/>
        <v>3.407251908396947</v>
      </c>
      <c r="AD102" t="s">
        <v>185</v>
      </c>
      <c r="AE102">
        <v>375</v>
      </c>
      <c r="AH102" t="s">
        <v>236</v>
      </c>
    </row>
    <row r="103" spans="23:34">
      <c r="W103">
        <v>10.070422535211268</v>
      </c>
      <c r="X103">
        <f t="shared" si="2"/>
        <v>3.9274647887323946</v>
      </c>
      <c r="Y103">
        <f t="shared" si="3"/>
        <v>3.0774647887323945</v>
      </c>
      <c r="Z103">
        <v>9.9883585564610016</v>
      </c>
      <c r="AA103">
        <f t="shared" si="4"/>
        <v>3.8954598370197906</v>
      </c>
      <c r="AB103">
        <f t="shared" si="5"/>
        <v>3.0454598370197905</v>
      </c>
    </row>
    <row r="104" spans="23:34" ht="409">
      <c r="W104">
        <v>9.4806629834254146</v>
      </c>
      <c r="X104">
        <f t="shared" si="2"/>
        <v>3.6974585635359118</v>
      </c>
      <c r="Y104">
        <f>X104-(0.85*0.875)</f>
        <v>2.9537085635359119</v>
      </c>
      <c r="Z104">
        <v>9.4078947368421044</v>
      </c>
      <c r="AA104">
        <f t="shared" si="4"/>
        <v>3.6690789473684209</v>
      </c>
      <c r="AB104">
        <f>AA104-(0.85*0.875)</f>
        <v>2.925328947368421</v>
      </c>
      <c r="AD104" s="2" t="s">
        <v>242</v>
      </c>
    </row>
    <row r="105" spans="23:34">
      <c r="W105">
        <v>8.4200196270853773</v>
      </c>
      <c r="X105">
        <f t="shared" si="2"/>
        <v>3.2838076545632973</v>
      </c>
      <c r="Y105">
        <f t="shared" ref="Y105" si="6">X105-(0.85*0.875)</f>
        <v>2.5400576545632974</v>
      </c>
      <c r="Z105">
        <v>8.3625730994152043</v>
      </c>
      <c r="AA105">
        <f t="shared" si="4"/>
        <v>3.26140350877193</v>
      </c>
      <c r="AB105">
        <f t="shared" ref="AB105" si="7">AA105-(0.85*0.875)</f>
        <v>2.5176535087719301</v>
      </c>
    </row>
  </sheetData>
  <phoneticPr fontId="1" type="noConversion"/>
  <pageMargins left="0.75" right="0.75" top="1" bottom="1" header="0.5" footer="0.5"/>
  <pageSetup orientation="landscape"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7"/>
  <sheetViews>
    <sheetView topLeftCell="A4" workbookViewId="0">
      <selection activeCell="N46" sqref="N46"/>
    </sheetView>
  </sheetViews>
  <sheetFormatPr baseColWidth="10" defaultRowHeight="13" x14ac:dyDescent="0"/>
  <sheetData>
    <row r="1" spans="1:15">
      <c r="H1" t="s">
        <v>141</v>
      </c>
    </row>
    <row r="2" spans="1:15">
      <c r="B2" t="s">
        <v>108</v>
      </c>
      <c r="C2" t="s">
        <v>109</v>
      </c>
      <c r="D2" t="s">
        <v>106</v>
      </c>
      <c r="E2" t="s">
        <v>107</v>
      </c>
      <c r="H2" t="s">
        <v>126</v>
      </c>
    </row>
    <row r="3" spans="1:15">
      <c r="H3" t="s">
        <v>148</v>
      </c>
    </row>
    <row r="4" spans="1:15">
      <c r="A4" t="s">
        <v>110</v>
      </c>
      <c r="B4">
        <v>1</v>
      </c>
      <c r="C4" t="s">
        <v>117</v>
      </c>
      <c r="D4">
        <v>178</v>
      </c>
      <c r="E4">
        <v>185</v>
      </c>
      <c r="F4" t="s">
        <v>142</v>
      </c>
      <c r="G4" t="s">
        <v>140</v>
      </c>
      <c r="H4" t="s">
        <v>147</v>
      </c>
    </row>
    <row r="5" spans="1:15">
      <c r="B5">
        <v>2</v>
      </c>
      <c r="C5" t="s">
        <v>118</v>
      </c>
      <c r="D5">
        <v>200</v>
      </c>
      <c r="E5">
        <v>207</v>
      </c>
      <c r="F5" t="s">
        <v>142</v>
      </c>
    </row>
    <row r="6" spans="1:15">
      <c r="B6">
        <v>3</v>
      </c>
      <c r="C6" t="s">
        <v>119</v>
      </c>
      <c r="D6">
        <v>221</v>
      </c>
      <c r="E6">
        <v>228</v>
      </c>
      <c r="F6" t="s">
        <v>143</v>
      </c>
    </row>
    <row r="7" spans="1:15">
      <c r="B7">
        <v>4</v>
      </c>
      <c r="C7" t="s">
        <v>120</v>
      </c>
      <c r="D7">
        <v>236</v>
      </c>
      <c r="E7">
        <v>243</v>
      </c>
      <c r="F7" t="s">
        <v>144</v>
      </c>
    </row>
    <row r="8" spans="1:15">
      <c r="B8">
        <v>5</v>
      </c>
      <c r="C8" t="s">
        <v>121</v>
      </c>
      <c r="D8">
        <v>266</v>
      </c>
      <c r="E8">
        <v>274</v>
      </c>
      <c r="F8" t="s">
        <v>145</v>
      </c>
    </row>
    <row r="9" spans="1:15">
      <c r="B9">
        <v>6</v>
      </c>
      <c r="C9" t="s">
        <v>115</v>
      </c>
      <c r="D9">
        <v>298</v>
      </c>
      <c r="E9">
        <v>306</v>
      </c>
      <c r="F9" t="s">
        <v>146</v>
      </c>
    </row>
    <row r="10" spans="1:15">
      <c r="B10">
        <v>7</v>
      </c>
      <c r="C10" t="s">
        <v>116</v>
      </c>
      <c r="D10">
        <v>316</v>
      </c>
      <c r="E10">
        <v>324</v>
      </c>
      <c r="F10" t="s">
        <v>146</v>
      </c>
    </row>
    <row r="13" spans="1:15">
      <c r="A13" t="s">
        <v>111</v>
      </c>
      <c r="B13">
        <v>1</v>
      </c>
      <c r="C13" t="s">
        <v>115</v>
      </c>
      <c r="D13">
        <v>299</v>
      </c>
      <c r="E13">
        <v>306</v>
      </c>
      <c r="F13" t="s">
        <v>135</v>
      </c>
      <c r="J13" t="s">
        <v>127</v>
      </c>
      <c r="M13" t="s">
        <v>128</v>
      </c>
    </row>
    <row r="14" spans="1:15">
      <c r="B14">
        <v>2</v>
      </c>
      <c r="C14" t="s">
        <v>116</v>
      </c>
      <c r="D14">
        <v>316</v>
      </c>
      <c r="E14">
        <v>324</v>
      </c>
      <c r="F14" t="s">
        <v>135</v>
      </c>
      <c r="J14" t="s">
        <v>115</v>
      </c>
      <c r="K14" t="s">
        <v>129</v>
      </c>
      <c r="L14" t="s">
        <v>130</v>
      </c>
      <c r="M14" t="s">
        <v>115</v>
      </c>
      <c r="N14" t="s">
        <v>129</v>
      </c>
      <c r="O14" t="s">
        <v>130</v>
      </c>
    </row>
    <row r="15" spans="1:15">
      <c r="B15">
        <v>3</v>
      </c>
      <c r="C15" t="s">
        <v>117</v>
      </c>
      <c r="D15">
        <v>355</v>
      </c>
      <c r="E15">
        <v>362</v>
      </c>
      <c r="F15" t="s">
        <v>136</v>
      </c>
      <c r="K15">
        <v>97</v>
      </c>
      <c r="L15">
        <v>95</v>
      </c>
      <c r="O15">
        <v>101</v>
      </c>
    </row>
    <row r="16" spans="1:15">
      <c r="B16">
        <v>4</v>
      </c>
      <c r="C16" t="s">
        <v>118</v>
      </c>
      <c r="D16">
        <v>399</v>
      </c>
      <c r="E16">
        <v>406</v>
      </c>
      <c r="F16" t="s">
        <v>137</v>
      </c>
      <c r="J16" t="s">
        <v>116</v>
      </c>
      <c r="M16" t="s">
        <v>116</v>
      </c>
    </row>
    <row r="17" spans="1:16">
      <c r="B17">
        <v>5</v>
      </c>
      <c r="C17" t="s">
        <v>119</v>
      </c>
      <c r="D17">
        <v>446</v>
      </c>
      <c r="E17">
        <v>453</v>
      </c>
      <c r="F17" t="s">
        <v>138</v>
      </c>
      <c r="K17">
        <v>39</v>
      </c>
      <c r="L17">
        <v>201</v>
      </c>
    </row>
    <row r="18" spans="1:16">
      <c r="B18">
        <v>6</v>
      </c>
      <c r="C18" t="s">
        <v>120</v>
      </c>
      <c r="D18">
        <v>472</v>
      </c>
      <c r="E18">
        <v>480</v>
      </c>
      <c r="F18" t="s">
        <v>139</v>
      </c>
      <c r="J18" t="s">
        <v>117</v>
      </c>
      <c r="M18" t="s">
        <v>117</v>
      </c>
    </row>
    <row r="19" spans="1:16">
      <c r="B19">
        <v>7</v>
      </c>
      <c r="C19" t="s">
        <v>121</v>
      </c>
      <c r="D19">
        <v>531</v>
      </c>
      <c r="E19">
        <v>538</v>
      </c>
      <c r="F19" t="s">
        <v>138</v>
      </c>
      <c r="K19">
        <v>44</v>
      </c>
      <c r="L19">
        <v>202</v>
      </c>
      <c r="N19">
        <v>22</v>
      </c>
      <c r="O19">
        <v>202</v>
      </c>
    </row>
    <row r="20" spans="1:16">
      <c r="J20" t="s">
        <v>118</v>
      </c>
      <c r="M20" t="s">
        <v>118</v>
      </c>
    </row>
    <row r="21" spans="1:16">
      <c r="A21" t="s">
        <v>112</v>
      </c>
      <c r="B21">
        <v>1</v>
      </c>
      <c r="C21" t="s">
        <v>115</v>
      </c>
      <c r="D21">
        <v>597</v>
      </c>
      <c r="E21">
        <v>605</v>
      </c>
      <c r="F21" t="s">
        <v>134</v>
      </c>
      <c r="K21">
        <v>47</v>
      </c>
      <c r="L21">
        <v>192</v>
      </c>
      <c r="N21">
        <v>21</v>
      </c>
      <c r="O21">
        <v>173</v>
      </c>
      <c r="P21" t="s">
        <v>133</v>
      </c>
    </row>
    <row r="22" spans="1:16">
      <c r="B22">
        <v>2</v>
      </c>
      <c r="C22" t="s">
        <v>116</v>
      </c>
      <c r="D22">
        <v>633</v>
      </c>
      <c r="E22">
        <v>641</v>
      </c>
      <c r="J22" t="s">
        <v>119</v>
      </c>
      <c r="M22" t="s">
        <v>119</v>
      </c>
    </row>
    <row r="23" spans="1:16">
      <c r="B23">
        <v>3</v>
      </c>
      <c r="C23" t="s">
        <v>117</v>
      </c>
      <c r="D23">
        <v>712</v>
      </c>
      <c r="E23">
        <v>719</v>
      </c>
      <c r="K23">
        <v>26</v>
      </c>
      <c r="L23">
        <v>98</v>
      </c>
      <c r="N23">
        <v>16</v>
      </c>
      <c r="O23">
        <v>113</v>
      </c>
      <c r="P23" t="s">
        <v>133</v>
      </c>
    </row>
    <row r="24" spans="1:16">
      <c r="B24">
        <v>4</v>
      </c>
      <c r="C24" t="s">
        <v>118</v>
      </c>
      <c r="D24">
        <v>801</v>
      </c>
      <c r="E24">
        <v>810</v>
      </c>
      <c r="J24" t="s">
        <v>120</v>
      </c>
      <c r="M24" t="s">
        <v>120</v>
      </c>
    </row>
    <row r="25" spans="1:16">
      <c r="B25">
        <v>5</v>
      </c>
      <c r="C25" t="s">
        <v>119</v>
      </c>
      <c r="D25">
        <v>898</v>
      </c>
      <c r="E25">
        <v>906</v>
      </c>
      <c r="K25">
        <v>59</v>
      </c>
      <c r="L25">
        <v>203</v>
      </c>
      <c r="N25">
        <v>30</v>
      </c>
      <c r="O25">
        <v>206</v>
      </c>
    </row>
    <row r="26" spans="1:16">
      <c r="B26">
        <v>6</v>
      </c>
      <c r="C26" t="s">
        <v>120</v>
      </c>
      <c r="D26">
        <v>947</v>
      </c>
      <c r="E26">
        <v>955</v>
      </c>
      <c r="J26" t="s">
        <v>121</v>
      </c>
      <c r="M26" t="s">
        <v>121</v>
      </c>
    </row>
    <row r="27" spans="1:16">
      <c r="B27">
        <v>7</v>
      </c>
      <c r="C27" t="s">
        <v>121</v>
      </c>
      <c r="D27">
        <v>1066</v>
      </c>
      <c r="E27">
        <v>1075</v>
      </c>
    </row>
    <row r="29" spans="1:16">
      <c r="A29" t="s">
        <v>113</v>
      </c>
      <c r="B29">
        <v>1</v>
      </c>
      <c r="C29" t="s">
        <v>115</v>
      </c>
      <c r="D29">
        <v>1196</v>
      </c>
      <c r="E29">
        <v>1204</v>
      </c>
      <c r="F29" t="s">
        <v>122</v>
      </c>
      <c r="J29" t="s">
        <v>131</v>
      </c>
    </row>
    <row r="30" spans="1:16">
      <c r="B30">
        <v>2</v>
      </c>
      <c r="C30" t="s">
        <v>116</v>
      </c>
      <c r="D30">
        <v>1265</v>
      </c>
      <c r="E30">
        <v>1273</v>
      </c>
      <c r="F30" t="s">
        <v>123</v>
      </c>
      <c r="J30" t="s">
        <v>115</v>
      </c>
      <c r="K30" t="s">
        <v>129</v>
      </c>
      <c r="L30" t="s">
        <v>130</v>
      </c>
      <c r="M30" t="s">
        <v>151</v>
      </c>
      <c r="N30" t="s">
        <v>158</v>
      </c>
    </row>
    <row r="31" spans="1:16">
      <c r="B31">
        <v>3</v>
      </c>
      <c r="C31" t="s">
        <v>117</v>
      </c>
      <c r="D31">
        <v>1422</v>
      </c>
      <c r="E31">
        <v>1430</v>
      </c>
      <c r="F31" t="s">
        <v>124</v>
      </c>
      <c r="K31">
        <v>36</v>
      </c>
      <c r="L31">
        <v>101</v>
      </c>
      <c r="N31" t="s">
        <v>160</v>
      </c>
    </row>
    <row r="32" spans="1:16">
      <c r="B32">
        <v>4</v>
      </c>
      <c r="C32" t="s">
        <v>118</v>
      </c>
      <c r="D32">
        <v>1601</v>
      </c>
      <c r="E32">
        <v>1609</v>
      </c>
      <c r="F32" t="s">
        <v>125</v>
      </c>
      <c r="J32" t="s">
        <v>116</v>
      </c>
      <c r="M32" t="s">
        <v>152</v>
      </c>
    </row>
    <row r="33" spans="1:14">
      <c r="B33">
        <v>5</v>
      </c>
      <c r="C33" t="s">
        <v>119</v>
      </c>
      <c r="D33">
        <v>1796</v>
      </c>
      <c r="E33">
        <v>1804</v>
      </c>
      <c r="F33" t="s">
        <v>122</v>
      </c>
      <c r="K33">
        <v>79</v>
      </c>
      <c r="L33">
        <v>203</v>
      </c>
    </row>
    <row r="34" spans="1:14">
      <c r="B34">
        <v>6</v>
      </c>
      <c r="C34" t="s">
        <v>120</v>
      </c>
      <c r="D34">
        <v>1891</v>
      </c>
      <c r="E34">
        <v>1899</v>
      </c>
      <c r="F34" t="s">
        <v>125</v>
      </c>
      <c r="J34" t="s">
        <v>117</v>
      </c>
      <c r="M34" t="s">
        <v>153</v>
      </c>
    </row>
    <row r="35" spans="1:14">
      <c r="B35">
        <v>7</v>
      </c>
      <c r="C35" t="s">
        <v>121</v>
      </c>
      <c r="D35">
        <v>2133</v>
      </c>
      <c r="E35">
        <v>2140</v>
      </c>
      <c r="F35" t="s">
        <v>125</v>
      </c>
      <c r="K35">
        <v>89</v>
      </c>
      <c r="L35">
        <v>203</v>
      </c>
    </row>
    <row r="36" spans="1:14">
      <c r="J36" t="s">
        <v>118</v>
      </c>
      <c r="M36" t="s">
        <v>154</v>
      </c>
    </row>
    <row r="37" spans="1:14">
      <c r="A37" t="s">
        <v>114</v>
      </c>
      <c r="B37">
        <v>1</v>
      </c>
      <c r="C37" t="s">
        <v>115</v>
      </c>
      <c r="D37">
        <v>299</v>
      </c>
      <c r="K37">
        <v>97</v>
      </c>
      <c r="L37">
        <v>197</v>
      </c>
      <c r="N37" t="s">
        <v>244</v>
      </c>
    </row>
    <row r="38" spans="1:14">
      <c r="B38">
        <v>2</v>
      </c>
      <c r="C38" t="s">
        <v>116</v>
      </c>
      <c r="D38">
        <v>318</v>
      </c>
      <c r="J38" t="s">
        <v>119</v>
      </c>
      <c r="M38" t="s">
        <v>155</v>
      </c>
    </row>
    <row r="39" spans="1:14">
      <c r="B39">
        <v>3</v>
      </c>
      <c r="C39" t="s">
        <v>117</v>
      </c>
      <c r="D39">
        <v>357</v>
      </c>
      <c r="K39">
        <v>49</v>
      </c>
      <c r="L39">
        <v>91</v>
      </c>
    </row>
    <row r="40" spans="1:14">
      <c r="B40">
        <v>4</v>
      </c>
      <c r="C40" t="s">
        <v>118</v>
      </c>
      <c r="D40">
        <v>399</v>
      </c>
      <c r="J40" t="s">
        <v>120</v>
      </c>
      <c r="M40" t="s">
        <v>156</v>
      </c>
    </row>
    <row r="41" spans="1:14">
      <c r="B41">
        <v>5</v>
      </c>
      <c r="C41" t="s">
        <v>119</v>
      </c>
      <c r="D41">
        <v>446</v>
      </c>
      <c r="K41">
        <v>119</v>
      </c>
      <c r="L41">
        <v>204</v>
      </c>
    </row>
    <row r="42" spans="1:14">
      <c r="B42">
        <v>6</v>
      </c>
      <c r="C42" t="s">
        <v>120</v>
      </c>
      <c r="D42">
        <v>473</v>
      </c>
      <c r="J42" t="s">
        <v>121</v>
      </c>
      <c r="M42" t="s">
        <v>157</v>
      </c>
    </row>
    <row r="43" spans="1:14">
      <c r="B43">
        <v>7</v>
      </c>
      <c r="C43" t="s">
        <v>121</v>
      </c>
      <c r="D43">
        <v>531</v>
      </c>
    </row>
    <row r="44" spans="1:14">
      <c r="B44">
        <v>8</v>
      </c>
      <c r="C44" t="s">
        <v>115</v>
      </c>
      <c r="D44">
        <v>597</v>
      </c>
      <c r="J44" t="s">
        <v>132</v>
      </c>
    </row>
    <row r="45" spans="1:14">
      <c r="B45">
        <v>9</v>
      </c>
      <c r="C45" t="s">
        <v>116</v>
      </c>
      <c r="D45">
        <v>633</v>
      </c>
      <c r="J45" t="s">
        <v>115</v>
      </c>
      <c r="K45" t="s">
        <v>129</v>
      </c>
      <c r="L45" t="s">
        <v>130</v>
      </c>
    </row>
    <row r="46" spans="1:14">
      <c r="B46">
        <v>10</v>
      </c>
      <c r="C46" t="s">
        <v>117</v>
      </c>
      <c r="L46">
        <v>97</v>
      </c>
    </row>
    <row r="47" spans="1:14">
      <c r="B47">
        <v>11</v>
      </c>
      <c r="C47" t="s">
        <v>118</v>
      </c>
      <c r="J47" t="s">
        <v>116</v>
      </c>
    </row>
    <row r="48" spans="1:14">
      <c r="B48">
        <v>12</v>
      </c>
      <c r="C48" t="s">
        <v>119</v>
      </c>
      <c r="L48">
        <v>203</v>
      </c>
    </row>
    <row r="49" spans="2:12">
      <c r="B49">
        <v>13</v>
      </c>
      <c r="C49" t="s">
        <v>120</v>
      </c>
      <c r="J49" t="s">
        <v>117</v>
      </c>
    </row>
    <row r="50" spans="2:12">
      <c r="B50">
        <v>14</v>
      </c>
      <c r="C50" t="s">
        <v>121</v>
      </c>
      <c r="L50">
        <v>205</v>
      </c>
    </row>
    <row r="51" spans="2:12">
      <c r="J51" t="s">
        <v>118</v>
      </c>
    </row>
    <row r="52" spans="2:12">
      <c r="L52">
        <v>199</v>
      </c>
    </row>
    <row r="53" spans="2:12">
      <c r="J53" t="s">
        <v>119</v>
      </c>
    </row>
    <row r="54" spans="2:12">
      <c r="L54">
        <v>89</v>
      </c>
    </row>
    <row r="55" spans="2:12">
      <c r="J55" t="s">
        <v>120</v>
      </c>
    </row>
    <row r="56" spans="2:12">
      <c r="L56">
        <v>208</v>
      </c>
    </row>
    <row r="57" spans="2:12">
      <c r="J57" t="s">
        <v>121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47"/>
  <sheetViews>
    <sheetView workbookViewId="0">
      <selection activeCell="C38" sqref="C38"/>
    </sheetView>
  </sheetViews>
  <sheetFormatPr baseColWidth="10" defaultRowHeight="13" x14ac:dyDescent="0"/>
  <sheetData>
    <row r="2" spans="1:10">
      <c r="A2" t="s">
        <v>197</v>
      </c>
      <c r="E2" t="s">
        <v>198</v>
      </c>
    </row>
    <row r="3" spans="1:10">
      <c r="G3" t="s">
        <v>211</v>
      </c>
    </row>
    <row r="4" spans="1:10">
      <c r="A4" t="s">
        <v>192</v>
      </c>
    </row>
    <row r="5" spans="1:10">
      <c r="G5" t="s">
        <v>217</v>
      </c>
    </row>
    <row r="6" spans="1:10">
      <c r="A6">
        <v>1</v>
      </c>
      <c r="B6" t="s">
        <v>196</v>
      </c>
      <c r="C6">
        <v>407.9</v>
      </c>
    </row>
    <row r="7" spans="1:10">
      <c r="A7">
        <v>2</v>
      </c>
      <c r="B7" t="s">
        <v>193</v>
      </c>
      <c r="C7">
        <v>458.65</v>
      </c>
    </row>
    <row r="8" spans="1:10">
      <c r="A8">
        <v>3</v>
      </c>
      <c r="B8" t="s">
        <v>195</v>
      </c>
      <c r="C8">
        <v>518.13</v>
      </c>
    </row>
    <row r="9" spans="1:10">
      <c r="A9">
        <v>4</v>
      </c>
      <c r="B9" t="s">
        <v>194</v>
      </c>
      <c r="C9">
        <v>616.9</v>
      </c>
    </row>
    <row r="13" spans="1:10">
      <c r="A13" t="s">
        <v>205</v>
      </c>
      <c r="G13" t="s">
        <v>215</v>
      </c>
      <c r="I13" t="s">
        <v>174</v>
      </c>
    </row>
    <row r="14" spans="1:10">
      <c r="G14">
        <v>1</v>
      </c>
      <c r="H14">
        <v>203.5</v>
      </c>
      <c r="I14">
        <v>1</v>
      </c>
      <c r="J14">
        <v>210.5</v>
      </c>
    </row>
    <row r="15" spans="1:10">
      <c r="A15">
        <v>1</v>
      </c>
      <c r="B15" t="s">
        <v>202</v>
      </c>
      <c r="C15">
        <v>418.35</v>
      </c>
      <c r="G15">
        <v>2</v>
      </c>
      <c r="H15">
        <v>229.33</v>
      </c>
      <c r="I15">
        <v>2</v>
      </c>
      <c r="J15">
        <v>236.33</v>
      </c>
    </row>
    <row r="16" spans="1:10">
      <c r="A16">
        <v>2</v>
      </c>
      <c r="B16" t="s">
        <v>201</v>
      </c>
      <c r="C16">
        <v>467.3</v>
      </c>
      <c r="G16">
        <v>3</v>
      </c>
      <c r="H16">
        <v>259.01</v>
      </c>
      <c r="I16">
        <v>3</v>
      </c>
      <c r="J16">
        <v>266.01</v>
      </c>
    </row>
    <row r="17" spans="1:10">
      <c r="A17">
        <v>3</v>
      </c>
      <c r="B17" t="s">
        <v>200</v>
      </c>
      <c r="C17">
        <v>536.95000000000005</v>
      </c>
      <c r="G17">
        <v>4</v>
      </c>
      <c r="H17">
        <v>308.45</v>
      </c>
      <c r="I17">
        <v>4</v>
      </c>
      <c r="J17">
        <v>315.45</v>
      </c>
    </row>
    <row r="18" spans="1:10">
      <c r="A18">
        <v>4</v>
      </c>
      <c r="B18" t="s">
        <v>199</v>
      </c>
      <c r="C18">
        <v>627.5</v>
      </c>
    </row>
    <row r="19" spans="1:10">
      <c r="G19" t="s">
        <v>213</v>
      </c>
      <c r="I19" t="s">
        <v>212</v>
      </c>
    </row>
    <row r="20" spans="1:10">
      <c r="G20">
        <v>1</v>
      </c>
      <c r="H20">
        <v>407.9</v>
      </c>
      <c r="I20">
        <v>1</v>
      </c>
      <c r="J20">
        <v>414.9</v>
      </c>
    </row>
    <row r="21" spans="1:10">
      <c r="G21">
        <v>2</v>
      </c>
      <c r="H21">
        <v>458.65</v>
      </c>
      <c r="I21">
        <v>2</v>
      </c>
      <c r="J21">
        <v>465.65</v>
      </c>
    </row>
    <row r="22" spans="1:10">
      <c r="G22">
        <v>3</v>
      </c>
      <c r="H22">
        <v>518.13</v>
      </c>
      <c r="I22">
        <v>3</v>
      </c>
      <c r="J22">
        <v>525.13</v>
      </c>
    </row>
    <row r="23" spans="1:10">
      <c r="A23" t="s">
        <v>206</v>
      </c>
      <c r="G23">
        <v>4</v>
      </c>
      <c r="H23">
        <v>616.9</v>
      </c>
      <c r="I23">
        <v>4</v>
      </c>
      <c r="J23">
        <v>623.9</v>
      </c>
    </row>
    <row r="25" spans="1:10">
      <c r="A25" t="s">
        <v>203</v>
      </c>
      <c r="D25" t="s">
        <v>204</v>
      </c>
    </row>
    <row r="26" spans="1:10">
      <c r="A26">
        <v>1</v>
      </c>
      <c r="B26" t="s">
        <v>207</v>
      </c>
      <c r="C26">
        <v>402.94</v>
      </c>
      <c r="G26" t="s">
        <v>175</v>
      </c>
      <c r="I26" t="s">
        <v>214</v>
      </c>
    </row>
    <row r="27" spans="1:10">
      <c r="A27">
        <v>2</v>
      </c>
      <c r="B27" t="s">
        <v>208</v>
      </c>
      <c r="C27">
        <v>464.24</v>
      </c>
      <c r="G27">
        <v>1</v>
      </c>
      <c r="H27">
        <v>815.8</v>
      </c>
      <c r="I27">
        <v>1</v>
      </c>
      <c r="J27">
        <v>822.8</v>
      </c>
    </row>
    <row r="28" spans="1:10">
      <c r="A28">
        <v>3</v>
      </c>
      <c r="B28" t="s">
        <v>209</v>
      </c>
      <c r="C28">
        <v>513.4</v>
      </c>
      <c r="G28">
        <v>2</v>
      </c>
      <c r="H28">
        <v>917.3</v>
      </c>
      <c r="I28">
        <v>2</v>
      </c>
      <c r="J28">
        <v>924.3</v>
      </c>
    </row>
    <row r="29" spans="1:10">
      <c r="A29">
        <v>4</v>
      </c>
      <c r="B29" t="s">
        <v>210</v>
      </c>
      <c r="C29">
        <v>613.4</v>
      </c>
      <c r="G29">
        <v>3</v>
      </c>
      <c r="H29">
        <v>1036.26</v>
      </c>
      <c r="I29">
        <v>3</v>
      </c>
      <c r="J29">
        <v>1043.26</v>
      </c>
    </row>
    <row r="30" spans="1:10">
      <c r="G30">
        <v>4</v>
      </c>
      <c r="H30">
        <v>1233.8</v>
      </c>
      <c r="I30">
        <v>4</v>
      </c>
      <c r="J30">
        <v>1240.8</v>
      </c>
    </row>
    <row r="43" spans="7:7">
      <c r="G43" t="s">
        <v>191</v>
      </c>
    </row>
    <row r="44" spans="7:7">
      <c r="G44" t="s">
        <v>178</v>
      </c>
    </row>
    <row r="47" spans="7:7">
      <c r="G47" t="s">
        <v>216</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Subandi semar pegulingan</vt:lpstr>
      <vt:lpstr>angklung</vt:lpstr>
    </vt:vector>
  </TitlesOfParts>
  <Company>University of Richmond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McGraw</dc:creator>
  <cp:lastModifiedBy>Reviewer 1</cp:lastModifiedBy>
  <cp:lastPrinted>2009-04-10T20:45:35Z</cp:lastPrinted>
  <dcterms:created xsi:type="dcterms:W3CDTF">2009-04-10T19:10:09Z</dcterms:created>
  <dcterms:modified xsi:type="dcterms:W3CDTF">2016-01-29T23:28:04Z</dcterms:modified>
</cp:coreProperties>
</file>